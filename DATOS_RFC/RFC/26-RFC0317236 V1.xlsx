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macropaymxmxmx.sharepoint.com/sites/qa.release/Shared Documents/General/DESPLIEGUES PROD/homologar/ris001-pe26 Dale Onboarding Innovador QA1/"/>
    </mc:Choice>
  </mc:AlternateContent>
  <xr:revisionPtr revIDLastSave="2733" documentId="8_{5FE92761-6198-43A0-A43C-7F138807802B}" xr6:coauthVersionLast="47" xr6:coauthVersionMax="47" xr10:uidLastSave="{16FC3B15-C8E6-4929-BD22-9519770C40AE}"/>
  <bookViews>
    <workbookView xWindow="-120" yWindow="-120" windowWidth="29040" windowHeight="15840" firstSheet="1" activeTab="3" xr2:uid="{C0B3ABFD-81D6-42AC-8541-9C49D773573C}"/>
  </bookViews>
  <sheets>
    <sheet name="EV.RIESGO" sheetId="6" r:id="rId1"/>
    <sheet name="RFC" sheetId="1" r:id="rId2"/>
    <sheet name="HITOS" sheetId="2" r:id="rId3"/>
    <sheet name="INFRA Y DEVOPS" sheetId="4" r:id="rId4"/>
    <sheet name="VALIDACIÓN" sheetId="7" r:id="rId5"/>
    <sheet name="ROLLBACK"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6" l="1"/>
  <c r="G27" i="6" s="1"/>
  <c r="G35" i="6"/>
  <c r="G30" i="6" s="1"/>
  <c r="G34" i="6"/>
  <c r="G29" i="6" s="1"/>
  <c r="G33" i="6"/>
  <c r="G28" i="6" s="1"/>
  <c r="B14" i="3"/>
  <c r="A14" i="3"/>
  <c r="C13" i="3"/>
  <c r="B13" i="3"/>
  <c r="C12" i="3"/>
  <c r="B12" i="3"/>
  <c r="G11" i="3"/>
  <c r="F11" i="3"/>
  <c r="C11" i="3"/>
  <c r="B11" i="3"/>
  <c r="A11" i="3"/>
  <c r="G10" i="3"/>
  <c r="F10" i="3"/>
  <c r="B10" i="3"/>
  <c r="A10" i="3"/>
  <c r="G9" i="3"/>
  <c r="F9" i="3"/>
  <c r="B9" i="3"/>
  <c r="A9" i="3"/>
  <c r="J8" i="3"/>
  <c r="G8" i="3"/>
  <c r="F8" i="3"/>
  <c r="B8" i="3"/>
  <c r="A8" i="3"/>
  <c r="B14" i="7"/>
  <c r="A14" i="7"/>
  <c r="C13" i="7"/>
  <c r="B13" i="7"/>
  <c r="C12" i="7"/>
  <c r="B12" i="7"/>
  <c r="G11" i="7"/>
  <c r="F11" i="7"/>
  <c r="C11" i="7"/>
  <c r="B11" i="7"/>
  <c r="A11" i="7"/>
  <c r="G10" i="7"/>
  <c r="F10" i="7"/>
  <c r="B10" i="7"/>
  <c r="A10" i="7"/>
  <c r="G9" i="7"/>
  <c r="F9" i="7"/>
  <c r="B9" i="7"/>
  <c r="A9" i="7"/>
  <c r="I8" i="7"/>
  <c r="G8" i="7"/>
  <c r="F8" i="7"/>
  <c r="B8" i="7"/>
  <c r="A8" i="7"/>
  <c r="B14" i="4"/>
  <c r="A14" i="4"/>
  <c r="C13" i="4"/>
  <c r="B13" i="4"/>
  <c r="C12" i="4"/>
  <c r="B12" i="4"/>
  <c r="J11" i="4"/>
  <c r="I11" i="4"/>
  <c r="C11" i="4"/>
  <c r="B11" i="4"/>
  <c r="A11" i="4"/>
  <c r="J10" i="4"/>
  <c r="I10" i="4"/>
  <c r="B10" i="4"/>
  <c r="A10" i="4"/>
  <c r="J9" i="4"/>
  <c r="I9" i="4"/>
  <c r="B9" i="4"/>
  <c r="A9" i="4"/>
  <c r="L8" i="4"/>
  <c r="J8" i="4"/>
  <c r="I8" i="4"/>
  <c r="B8" i="4"/>
  <c r="A8" i="4"/>
  <c r="B14" i="2"/>
  <c r="A14" i="2"/>
  <c r="C13" i="2"/>
  <c r="B13" i="2"/>
  <c r="C12" i="2"/>
  <c r="B12" i="2"/>
  <c r="G11" i="2"/>
  <c r="F11" i="2"/>
  <c r="C11" i="2"/>
  <c r="B11" i="2"/>
  <c r="A11" i="2"/>
  <c r="G10" i="2"/>
  <c r="F10" i="2"/>
  <c r="B10" i="2"/>
  <c r="A10" i="2"/>
  <c r="G9" i="2"/>
  <c r="F9" i="2"/>
  <c r="B9" i="2"/>
  <c r="A9" i="2"/>
  <c r="I8" i="2"/>
  <c r="G8" i="2"/>
  <c r="F8" i="2"/>
  <c r="B8" i="2"/>
  <c r="A8" i="2"/>
  <c r="K8" i="1"/>
  <c r="H11" i="1"/>
  <c r="H10" i="1"/>
  <c r="H9" i="1"/>
  <c r="H8" i="1"/>
  <c r="G11" i="1"/>
  <c r="G10" i="1"/>
  <c r="G9" i="1"/>
  <c r="G8" i="1"/>
  <c r="B14" i="1"/>
  <c r="D13" i="1"/>
  <c r="D12" i="1"/>
  <c r="D11" i="1"/>
  <c r="B13" i="1"/>
  <c r="B12" i="1"/>
  <c r="B11" i="1"/>
  <c r="B10" i="1"/>
  <c r="B9" i="1"/>
  <c r="B8" i="1"/>
  <c r="A14" i="1"/>
  <c r="A11" i="1"/>
  <c r="A9" i="1"/>
  <c r="A10" i="1"/>
  <c r="A8" i="1"/>
  <c r="O9" i="3"/>
  <c r="N9" i="7"/>
  <c r="H20" i="3"/>
  <c r="H21" i="3"/>
  <c r="H22" i="3"/>
  <c r="H23" i="3"/>
  <c r="H24" i="3"/>
  <c r="H25" i="3"/>
  <c r="H26" i="3"/>
  <c r="H19" i="3"/>
  <c r="F20" i="3"/>
  <c r="F21" i="3"/>
  <c r="F22" i="3"/>
  <c r="F23" i="3"/>
  <c r="F24" i="3"/>
  <c r="F25" i="3"/>
  <c r="F26" i="3"/>
  <c r="F19" i="3"/>
  <c r="M34" i="6" l="1"/>
  <c r="L29" i="6" s="1"/>
  <c r="M35" i="6"/>
  <c r="M33" i="6"/>
  <c r="L28" i="6" s="1"/>
  <c r="M32" i="6"/>
  <c r="L27" i="6" s="1"/>
</calcChain>
</file>

<file path=xl/sharedStrings.xml><?xml version="1.0" encoding="utf-8"?>
<sst xmlns="http://schemas.openxmlformats.org/spreadsheetml/2006/main" count="517" uniqueCount="196">
  <si>
    <t>ID del proyecto:</t>
  </si>
  <si>
    <t>ris001-pe26</t>
  </si>
  <si>
    <t>Tipo de Cambio:</t>
  </si>
  <si>
    <t>Normal</t>
  </si>
  <si>
    <t>Comentarios adicionales.</t>
  </si>
  <si>
    <t>Nombre del proyecto</t>
  </si>
  <si>
    <t>Dale Onboarding Innovador</t>
  </si>
  <si>
    <t>Prioridad:</t>
  </si>
  <si>
    <t>Media</t>
  </si>
  <si>
    <t>SE REQUIEREN PRUEBAS DE NO AFECTACION, PARA PF YA QUE LA FUNCIONALIDAD INCLUYE COMPONENTES ACTUALES</t>
  </si>
  <si>
    <t>Plataformas impactadas:</t>
  </si>
  <si>
    <t xml:space="preserve"> Plataforma Dale y componentes PF</t>
  </si>
  <si>
    <t>Riesgo:</t>
  </si>
  <si>
    <t>Medio</t>
  </si>
  <si>
    <t>Líder del Cambio:</t>
  </si>
  <si>
    <t>Arquitecto</t>
  </si>
  <si>
    <t>N/A</t>
  </si>
  <si>
    <t>Afecta la operación:</t>
  </si>
  <si>
    <t>No</t>
  </si>
  <si>
    <t>Project Manager</t>
  </si>
  <si>
    <t>Líder Técnico Dev</t>
  </si>
  <si>
    <t>GESTION DE AMBIENTES</t>
  </si>
  <si>
    <t>Ambiente:</t>
  </si>
  <si>
    <t>QA3</t>
  </si>
  <si>
    <t>CUESTIONARIO DE EVALUACIÓN RIESGO</t>
  </si>
  <si>
    <t>Evaluación de Riesgo</t>
  </si>
  <si>
    <t>Tiempos de despliegue</t>
  </si>
  <si>
    <t xml:space="preserve">Delta máxima permitida </t>
  </si>
  <si>
    <t>¿Cuándo realizar el cambio?</t>
  </si>
  <si>
    <t>Cierre de las sucursales</t>
  </si>
  <si>
    <t>Actividades Previas</t>
  </si>
  <si>
    <t>¿Qué implica el cambio?</t>
  </si>
  <si>
    <t>Ambos (desarrollo de software e infraestructura).</t>
  </si>
  <si>
    <t>Actividades de Liberación</t>
  </si>
  <si>
    <t>¿Requiere Validaciones?</t>
  </si>
  <si>
    <t>Sí se requiren pruebas</t>
  </si>
  <si>
    <t>Actividades de Validación</t>
  </si>
  <si>
    <t>Actividades de Valición</t>
  </si>
  <si>
    <t>Actividades de Rollback</t>
  </si>
  <si>
    <t>Emergente</t>
  </si>
  <si>
    <t>Avance de despliegue</t>
  </si>
  <si>
    <t>Habilitar DALE como una plataforma de Originación adicional, integrada con los sistemas de Macropay, que permita a clientes nuevos y de recompra el inicio de una presolicitud de crédito sin acudir inicialmente a sucursal</t>
  </si>
  <si>
    <t>AREAS INVOLUCRADAS</t>
  </si>
  <si>
    <t>Área</t>
  </si>
  <si>
    <t>Área Nom</t>
  </si>
  <si>
    <t xml:space="preserve">Ejecutor </t>
  </si>
  <si>
    <t>Back de ejecutor</t>
  </si>
  <si>
    <t>Selecciona</t>
  </si>
  <si>
    <t>Administracion de Bases de Datos</t>
  </si>
  <si>
    <t>DBA</t>
  </si>
  <si>
    <t>Aplicaciones</t>
  </si>
  <si>
    <t>APP</t>
  </si>
  <si>
    <t>Ciberseguridad</t>
  </si>
  <si>
    <t>Ciber</t>
  </si>
  <si>
    <t>Desarrollo</t>
  </si>
  <si>
    <t>DEV</t>
  </si>
  <si>
    <t>Devops</t>
  </si>
  <si>
    <t>Gestor de identidad y accesos</t>
  </si>
  <si>
    <t>IAM</t>
  </si>
  <si>
    <t>Infraestructura Cloud</t>
  </si>
  <si>
    <t>Cloud</t>
  </si>
  <si>
    <t>Infraestructura SAP</t>
  </si>
  <si>
    <t>SAP</t>
  </si>
  <si>
    <t>ACTIVIDADES PREVIAS</t>
  </si>
  <si>
    <t>No. Tarea</t>
  </si>
  <si>
    <t>Descripción de la tarea</t>
  </si>
  <si>
    <t>Servidor</t>
  </si>
  <si>
    <t>Nubes/Cuenta</t>
  </si>
  <si>
    <t>Estimación (Minutos)</t>
  </si>
  <si>
    <t>Hito</t>
  </si>
  <si>
    <t>Comentarios</t>
  </si>
  <si>
    <t>Estado</t>
  </si>
  <si>
    <r>
      <t xml:space="preserve">Crear llave </t>
    </r>
    <r>
      <rPr>
        <b/>
        <sz val="11"/>
        <color rgb="FF000000"/>
        <rFont val="Calibri"/>
        <family val="2"/>
      </rPr>
      <t xml:space="preserve">KMS </t>
    </r>
    <r>
      <rPr>
        <sz val="11"/>
        <color rgb="FF000000"/>
        <rFont val="Calibri"/>
        <family val="2"/>
      </rPr>
      <t xml:space="preserve">de forma </t>
    </r>
    <r>
      <rPr>
        <b/>
        <sz val="11"/>
        <color rgb="FF000000"/>
        <rFont val="Calibri"/>
        <family val="2"/>
      </rPr>
      <t>Customer managed keys</t>
    </r>
    <r>
      <rPr>
        <sz val="11"/>
        <color rgb="FF000000"/>
        <rFont val="Calibri"/>
        <family val="2"/>
      </rPr>
      <t xml:space="preserve"> con el tipo </t>
    </r>
    <r>
      <rPr>
        <b/>
        <sz val="11"/>
        <color rgb="FF000000"/>
        <rFont val="Calibri"/>
        <family val="2"/>
      </rPr>
      <t>Symmetric</t>
    </r>
    <r>
      <rPr>
        <sz val="11"/>
        <color rgb="FF000000"/>
        <rFont val="Calibri"/>
        <family val="2"/>
      </rPr>
      <t xml:space="preserve"> y con las funciones de </t>
    </r>
    <r>
      <rPr>
        <b/>
        <sz val="11"/>
        <color rgb="FF000000"/>
        <rFont val="Calibri"/>
        <family val="2"/>
      </rPr>
      <t xml:space="preserve">Encrypt and decrypt
</t>
    </r>
    <r>
      <rPr>
        <sz val="11"/>
        <color rgb="FF000000"/>
        <rFont val="Calibri"/>
        <family val="2"/>
      </rPr>
      <t xml:space="preserve">Usar Este ARN Key para asginarlo al rol solicitado en el paso siguiente. ejemplo: </t>
    </r>
    <r>
      <rPr>
        <b/>
        <sz val="11"/>
        <color rgb="FF000000"/>
        <rFont val="Calibri"/>
        <family val="2"/>
      </rPr>
      <t>arn:aws:kms:us-east-1:910617026399:key/</t>
    </r>
    <r>
      <rPr>
        <b/>
        <sz val="11"/>
        <color rgb="FFFF0000"/>
        <rFont val="Calibri"/>
        <family val="2"/>
      </rPr>
      <t>xxxxxxxx-xxxx-xxxx-xxxx-xxxxxxxx</t>
    </r>
  </si>
  <si>
    <t>En espera</t>
  </si>
  <si>
    <r>
      <t xml:space="preserve">Ejecutar los scripts contenidos en el siguiente directorio en base al orden de directorio y nombre del script: 
</t>
    </r>
    <r>
      <rPr>
        <b/>
        <sz val="11"/>
        <color rgb="FF000000"/>
        <rFont val="Calibri"/>
        <family val="2"/>
      </rPr>
      <t>scripts/</t>
    </r>
    <r>
      <rPr>
        <sz val="11"/>
        <color rgb="FF000000"/>
        <rFont val="Calibri"/>
        <family val="2"/>
      </rPr>
      <t xml:space="preserve"> con base al siguiente orden:
01_ALTER_tb_sfc_ventas_softcredito.sql
02_ALTER_tb_PFM_UsuarioJornada.sql
03_ALTER_tb_SM_General.sql
04_ALTER_sp_pfm_ventas_softcredito.sql
05_CREATE_sp_add_mpf_ventas_excepcion.sql
06_CREATE_sp_TiendasCercanasDale.sql
07_ALTER_sp_Credito_Cobranza_SAG_Ordenes_Pendientes_sel_macropay.sql
08_INSERT_pfm_usuarios_sistema.sql
09_INSERT_incode_config_parametros.sql
10_INSERT_pfm_configuracion_generales.sql
11_ALTER_sp_pfm_add_datos_microfronts.sql
12_ALTER_vw_salesforece_productos.sql</t>
    </r>
  </si>
  <si>
    <t>core-database-qa3.macropay.mx</t>
  </si>
  <si>
    <t>Espera</t>
  </si>
  <si>
    <r>
      <t xml:space="preserve">Migrar y Homologar los siguientes objetos de la BD: </t>
    </r>
    <r>
      <rPr>
        <b/>
        <sz val="11"/>
        <color rgb="FF000000"/>
        <rFont val="Calibri"/>
        <family val="2"/>
      </rPr>
      <t>MacropayPF</t>
    </r>
    <r>
      <rPr>
        <sz val="11"/>
        <color rgb="FF000000"/>
        <rFont val="Calibri"/>
        <family val="2"/>
      </rPr>
      <t xml:space="preserve"> tomando como referencia el objeto del ambiente de PROD a QA3.
1. DALE_Flujo
2. DALE_DetalleFlujo
3. DALE_Rechazo</t>
    </r>
  </si>
  <si>
    <t>910617026399</t>
  </si>
  <si>
    <t xml:space="preserve">Crear pipeline del componente  midd-originacion-transacciones-proveedor                
DNS: https://amiddoriginaciondaleqa3.macropay.mx/        
Puerto: 8080                                                                                                                                                                                                                                                                                                                                                                                                                                                                                                                                                                                                                                                         </t>
  </si>
  <si>
    <t>AWS QA3</t>
  </si>
  <si>
    <t xml:space="preserve">Crear pipeline del componente  midd-originacion-transacciones-proveedor-token
DNS: https://amiddoriginaciondaleqa3.macropay.mx/                  
Puerto: 3000                                                                                                                                                                                                                                                                                                                                                                                                                                                                                                                                                                                                                                                                                     </t>
  </si>
  <si>
    <t xml:space="preserve">Crear pipeline del componente  midd-originacion-transacciones-macropay                                         
DNS: https://amiddtransaccionesdaleqa3.macropay.mx/ 
Puerto: 8080                                                                                                                                                                                                                                                                                                                                                                                                                                                                                                                                                                                                                  </t>
  </si>
  <si>
    <r>
      <rPr>
        <sz val="11"/>
        <color rgb="FF000000"/>
        <rFont val="Calibri"/>
        <family val="2"/>
      </rPr>
      <t xml:space="preserve">Migrar la </t>
    </r>
    <r>
      <rPr>
        <b/>
        <sz val="11"/>
        <color rgb="FF000000"/>
        <rFont val="Calibri"/>
        <family val="2"/>
      </rPr>
      <t>estructura y los datos</t>
    </r>
    <r>
      <rPr>
        <sz val="11"/>
        <color rgb="FF000000"/>
        <rFont val="Calibri"/>
        <family val="2"/>
      </rPr>
      <t xml:space="preserve"> del siguiente catálogo creado en la BD: </t>
    </r>
    <r>
      <rPr>
        <b/>
        <sz val="11"/>
        <color rgb="FF000000"/>
        <rFont val="Calibri"/>
        <family val="2"/>
      </rPr>
      <t>MacropayPF</t>
    </r>
    <r>
      <rPr>
        <sz val="11"/>
        <color rgb="FF000000"/>
        <rFont val="Calibri"/>
        <family val="2"/>
      </rPr>
      <t xml:space="preserve"> tomando como referencia el catálogo del ambiente PROD a QA3.
1. DALE_cat_MotivoRechazo</t>
    </r>
  </si>
  <si>
    <r>
      <t xml:space="preserve">Creación del usuario </t>
    </r>
    <r>
      <rPr>
        <b/>
        <sz val="11"/>
        <color rgb="FF000000"/>
        <rFont val="Calibri"/>
        <family val="2"/>
      </rPr>
      <t xml:space="preserve">srv-transacciones-dale_qa3 </t>
    </r>
    <r>
      <rPr>
        <sz val="11"/>
        <color rgb="FF000000"/>
        <rFont val="Calibri"/>
        <family val="2"/>
      </rPr>
      <t>de acuerdo</t>
    </r>
    <r>
      <rPr>
        <b/>
        <sz val="11"/>
        <color rgb="FF000000"/>
        <rFont val="Calibri"/>
        <family val="2"/>
      </rPr>
      <t xml:space="preserve"> </t>
    </r>
    <r>
      <rPr>
        <sz val="11"/>
        <color rgb="FF000000"/>
        <rFont val="Calibri"/>
        <family val="2"/>
      </rPr>
      <t xml:space="preserve">a la carta responsiva:
</t>
    </r>
    <r>
      <rPr>
        <b/>
        <sz val="11"/>
        <color rgb="FF000000"/>
        <rFont val="Calibri"/>
        <family val="2"/>
      </rPr>
      <t>QA3_26-SOL0316999_srv-transacciones-dale_qa3.pdf</t>
    </r>
  </si>
  <si>
    <r>
      <t xml:space="preserve">Resguardo de documentación carta responsiva: </t>
    </r>
    <r>
      <rPr>
        <b/>
        <sz val="11"/>
        <color rgb="FF000000"/>
        <rFont val="Calibri"/>
        <family val="2"/>
      </rPr>
      <t>QA3_26-SOL0316999_srv-transacciones-dale_qa3.pdf</t>
    </r>
  </si>
  <si>
    <r>
      <t xml:space="preserve">Creación del usuario </t>
    </r>
    <r>
      <rPr>
        <b/>
        <sz val="11"/>
        <color rgb="FF000000"/>
        <rFont val="Calibri"/>
        <family val="2"/>
      </rPr>
      <t xml:space="preserve">srv-auth-dale_qa3 </t>
    </r>
    <r>
      <rPr>
        <sz val="11"/>
        <color rgb="FF000000"/>
        <rFont val="Calibri"/>
        <family val="2"/>
      </rPr>
      <t>de acuerdo</t>
    </r>
    <r>
      <rPr>
        <b/>
        <sz val="11"/>
        <color rgb="FF000000"/>
        <rFont val="Calibri"/>
        <family val="2"/>
      </rPr>
      <t xml:space="preserve"> </t>
    </r>
    <r>
      <rPr>
        <sz val="11"/>
        <color rgb="FF000000"/>
        <rFont val="Calibri"/>
        <family val="2"/>
      </rPr>
      <t xml:space="preserve">a la carta responsiva:
</t>
    </r>
    <r>
      <rPr>
        <b/>
        <sz val="11"/>
        <color rgb="FF000000"/>
        <rFont val="Calibri"/>
        <family val="2"/>
      </rPr>
      <t>QA3_26-SOL0317001_srv-auth-dale_qa3</t>
    </r>
    <r>
      <rPr>
        <b/>
        <sz val="11"/>
        <color rgb="FF000000"/>
        <rFont val="Calibri"/>
        <family val="2"/>
      </rPr>
      <t>.pdf</t>
    </r>
  </si>
  <si>
    <r>
      <t xml:space="preserve">Resguardo de documentación carta responsiva: </t>
    </r>
    <r>
      <rPr>
        <b/>
        <sz val="11"/>
        <color rgb="FF000000"/>
        <rFont val="Calibri"/>
        <family val="2"/>
      </rPr>
      <t>QA3_26-SOL0317001_srv-auth-dale_qa3.pdf</t>
    </r>
  </si>
  <si>
    <r>
      <rPr>
        <sz val="11"/>
        <color rgb="FF000000"/>
        <rFont val="Calibri"/>
        <family val="2"/>
      </rPr>
      <t xml:space="preserve">Creación del usuario </t>
    </r>
    <r>
      <rPr>
        <b/>
        <sz val="11"/>
        <color rgb="FF000000"/>
        <rFont val="Calibri"/>
        <family val="2"/>
      </rPr>
      <t xml:space="preserve">srv-biometrics_creditos_qa3 </t>
    </r>
    <r>
      <rPr>
        <sz val="11"/>
        <color rgb="FF000000"/>
        <rFont val="Calibri"/>
        <family val="2"/>
      </rPr>
      <t>de acuerdo</t>
    </r>
    <r>
      <rPr>
        <b/>
        <sz val="11"/>
        <color rgb="FF000000"/>
        <rFont val="Calibri"/>
        <family val="2"/>
      </rPr>
      <t xml:space="preserve"> </t>
    </r>
    <r>
      <rPr>
        <sz val="11"/>
        <color rgb="FF000000"/>
        <rFont val="Calibri"/>
        <family val="2"/>
      </rPr>
      <t xml:space="preserve">a la carta responsiva:
 </t>
    </r>
    <r>
      <rPr>
        <b/>
        <sz val="11"/>
        <color rgb="FF000000"/>
        <rFont val="Calibri"/>
        <family val="2"/>
      </rPr>
      <t>QA3_26-SOL0317035_srv-biometric_creditos_qa3.pdf</t>
    </r>
  </si>
  <si>
    <r>
      <t xml:space="preserve">Resguardo de documentación carta responsiva: </t>
    </r>
    <r>
      <rPr>
        <b/>
        <sz val="11"/>
        <color rgb="FF000000"/>
        <rFont val="Calibri"/>
        <family val="2"/>
      </rPr>
      <t>QA3_26-SOL0317035_srv-biometric_creditos_qa3.pdf</t>
    </r>
  </si>
  <si>
    <r>
      <rPr>
        <sz val="11"/>
        <color rgb="FF000000"/>
        <rFont val="Calibri"/>
        <family val="2"/>
      </rPr>
      <t xml:space="preserve">Actualizar y homologar permisos usuario </t>
    </r>
    <r>
      <rPr>
        <b/>
        <sz val="11"/>
        <color rgb="FF000000"/>
        <rFont val="Calibri"/>
        <family val="2"/>
      </rPr>
      <t>srv-sales_summary_creditos_qa3</t>
    </r>
    <r>
      <rPr>
        <sz val="11"/>
        <color rgb="FF000000"/>
        <rFont val="Calibri"/>
        <family val="2"/>
      </rPr>
      <t xml:space="preserve"> de </t>
    </r>
    <r>
      <rPr>
        <b/>
        <sz val="11"/>
        <color rgb="FF000000"/>
        <rFont val="Calibri"/>
        <family val="2"/>
      </rPr>
      <t xml:space="preserve">PROD </t>
    </r>
    <r>
      <rPr>
        <sz val="11"/>
        <color rgb="FF000000"/>
        <rFont val="Calibri"/>
        <family val="2"/>
      </rPr>
      <t xml:space="preserve">a </t>
    </r>
    <r>
      <rPr>
        <b/>
        <sz val="11"/>
        <color rgb="FF000000"/>
        <rFont val="Calibri"/>
        <family val="2"/>
      </rPr>
      <t>QA3</t>
    </r>
    <r>
      <rPr>
        <sz val="11"/>
        <color rgb="FF000000"/>
        <rFont val="Calibri"/>
        <family val="2"/>
      </rPr>
      <t xml:space="preserve"> de acuerdo a la carta  </t>
    </r>
    <r>
      <rPr>
        <b/>
        <sz val="11"/>
        <color rgb="FF000000"/>
        <rFont val="Calibri"/>
        <family val="2"/>
      </rPr>
      <t>srv-sales_summary_creditos_qa3</t>
    </r>
    <r>
      <rPr>
        <sz val="11"/>
        <color rgb="FF000000"/>
        <rFont val="Calibri"/>
        <family val="2"/>
      </rPr>
      <t>.pdf</t>
    </r>
  </si>
  <si>
    <r>
      <t xml:space="preserve">Resguardo de documentación carta responsiva: </t>
    </r>
    <r>
      <rPr>
        <b/>
        <sz val="11"/>
        <color rgb="FF000000"/>
        <rFont val="Calibri"/>
        <family val="2"/>
      </rPr>
      <t>QA3_26-SOL0317036_srv-sales_summary_creditos_qa3.pdf</t>
    </r>
  </si>
  <si>
    <r>
      <rPr>
        <sz val="11"/>
        <color rgb="FF000000"/>
        <rFont val="Calibri"/>
        <family val="2"/>
      </rPr>
      <t xml:space="preserve">Actualizar y homologar usuario </t>
    </r>
    <r>
      <rPr>
        <b/>
        <sz val="11"/>
        <color rgb="FF000000"/>
        <rFont val="Calibri"/>
        <family val="2"/>
      </rPr>
      <t>usr_microfront_QA3</t>
    </r>
    <r>
      <rPr>
        <sz val="11"/>
        <color rgb="FF000000"/>
        <rFont val="Calibri"/>
        <family val="2"/>
      </rPr>
      <t xml:space="preserve"> de </t>
    </r>
    <r>
      <rPr>
        <b/>
        <sz val="11"/>
        <color rgb="FF000000"/>
        <rFont val="Calibri"/>
        <family val="2"/>
      </rPr>
      <t>PROD a QA3</t>
    </r>
    <r>
      <rPr>
        <sz val="11"/>
        <color rgb="FF000000"/>
        <rFont val="Calibri"/>
        <family val="2"/>
      </rPr>
      <t xml:space="preserve"> de acuerdo a la carta  </t>
    </r>
    <r>
      <rPr>
        <b/>
        <sz val="11"/>
        <color rgb="FF000000"/>
        <rFont val="Calibri"/>
        <family val="2"/>
      </rPr>
      <t>QA3_26-SOL0317040_usr_microfront_qa3.pdf</t>
    </r>
  </si>
  <si>
    <r>
      <rPr>
        <sz val="11"/>
        <color rgb="FF000000"/>
        <rFont val="Calibri"/>
        <family val="2"/>
      </rPr>
      <t xml:space="preserve">Resguardo de documentación carta responsiva: </t>
    </r>
    <r>
      <rPr>
        <b/>
        <sz val="11"/>
        <color rgb="FF000000"/>
        <rFont val="Calibri"/>
        <family val="2"/>
      </rPr>
      <t>usr_microfront_QA3.pdf</t>
    </r>
  </si>
  <si>
    <r>
      <t xml:space="preserve">Homologar usuario </t>
    </r>
    <r>
      <rPr>
        <b/>
        <sz val="11"/>
        <color rgb="FF000000"/>
        <rFont val="Calibri"/>
        <family val="2"/>
      </rPr>
      <t>srv-api-belvo_qa3</t>
    </r>
    <r>
      <rPr>
        <sz val="11"/>
        <color rgb="FF000000"/>
        <rFont val="Calibri"/>
        <family val="2"/>
      </rPr>
      <t xml:space="preserve"> de </t>
    </r>
    <r>
      <rPr>
        <b/>
        <sz val="11"/>
        <color rgb="FF000000"/>
        <rFont val="Calibri"/>
        <family val="2"/>
      </rPr>
      <t>PROD a QA3</t>
    </r>
    <r>
      <rPr>
        <sz val="11"/>
        <color rgb="FF000000"/>
        <rFont val="Calibri"/>
        <family val="2"/>
      </rPr>
      <t xml:space="preserve"> de acuerdo a la carta </t>
    </r>
    <r>
      <rPr>
        <b/>
        <sz val="11"/>
        <color rgb="FF000000"/>
        <rFont val="Calibri"/>
        <family val="2"/>
      </rPr>
      <t>QA3_26-SOL0317042_srv-api-belvo_qa3.pdf</t>
    </r>
  </si>
  <si>
    <r>
      <rPr>
        <sz val="11"/>
        <color rgb="FF000000"/>
        <rFont val="Calibri"/>
        <family val="2"/>
      </rPr>
      <t xml:space="preserve">Resguardo de documentación carta responsiva: </t>
    </r>
    <r>
      <rPr>
        <b/>
        <sz val="11"/>
        <color rgb="FF000000"/>
        <rFont val="Calibri"/>
        <family val="2"/>
      </rPr>
      <t>srv-api-belvo_qa3.pdf</t>
    </r>
  </si>
  <si>
    <r>
      <t xml:space="preserve">Crear Certificado para el DNS </t>
    </r>
    <r>
      <rPr>
        <b/>
        <sz val="11"/>
        <color rgb="FFFF0000"/>
        <rFont val="Calibri"/>
        <family val="2"/>
      </rPr>
      <t xml:space="preserve">Privado </t>
    </r>
    <r>
      <rPr>
        <sz val="11"/>
        <color rgb="FF000000"/>
        <rFont val="Calibri"/>
        <family val="2"/>
      </rPr>
      <t xml:space="preserve">creado en pasos siguientes:
</t>
    </r>
    <r>
      <rPr>
        <b/>
        <sz val="11"/>
        <color rgb="FF000000"/>
        <rFont val="Calibri"/>
        <family val="2"/>
      </rPr>
      <t>https://amiddtransaccionesdale-qa3.macropay.mx</t>
    </r>
  </si>
  <si>
    <r>
      <t xml:space="preserve">Crear Certificado para el DNS </t>
    </r>
    <r>
      <rPr>
        <b/>
        <sz val="11"/>
        <color rgb="FFFF0000"/>
        <rFont val="Calibri"/>
        <family val="2"/>
      </rPr>
      <t xml:space="preserve">Público </t>
    </r>
    <r>
      <rPr>
        <sz val="11"/>
        <color rgb="FF000000"/>
        <rFont val="Calibri"/>
        <family val="2"/>
      </rPr>
      <t xml:space="preserve">creado en pasos siguientes:
</t>
    </r>
    <r>
      <rPr>
        <b/>
        <sz val="11"/>
        <color rgb="FF000000"/>
        <rFont val="Calibri"/>
        <family val="2"/>
      </rPr>
      <t>https://amiddoriginaciondale-qa3.macropay.mx</t>
    </r>
  </si>
  <si>
    <r>
      <t xml:space="preserve">Crear secrets managers del componente </t>
    </r>
    <r>
      <rPr>
        <b/>
        <sz val="11"/>
        <color rgb="FF000000"/>
        <rFont val="Calibri"/>
        <family val="2"/>
      </rPr>
      <t>midd-originacion-transacciones-proveedor-token</t>
    </r>
    <r>
      <rPr>
        <sz val="11"/>
        <color rgb="FF000000"/>
        <rFont val="Calibri"/>
        <family val="2"/>
      </rPr>
      <t xml:space="preserve"> en QA3 de acuerdo al archivo: </t>
    </r>
    <r>
      <rPr>
        <b/>
        <sz val="11"/>
        <color rgb="FF000000"/>
        <rFont val="Calibri"/>
        <family val="2"/>
      </rPr>
      <t>midd-originacion-transacciones-proveedor-token.json</t>
    </r>
  </si>
  <si>
    <r>
      <t xml:space="preserve">Asignar el password creado del usuario </t>
    </r>
    <r>
      <rPr>
        <b/>
        <sz val="11"/>
        <color rgb="FF000000"/>
        <rFont val="Calibri"/>
        <family val="2"/>
      </rPr>
      <t xml:space="preserve">srv-auth-dale_qa3 </t>
    </r>
    <r>
      <rPr>
        <sz val="11"/>
        <color rgb="FF000000"/>
        <rFont val="Calibri"/>
        <family val="2"/>
      </rPr>
      <t xml:space="preserve">a la variable de entorno </t>
    </r>
    <r>
      <rPr>
        <b/>
        <sz val="11"/>
        <color rgb="FF000000"/>
        <rFont val="Calibri"/>
        <family val="2"/>
      </rPr>
      <t>MACROPAY_PF_DB_PASSWORD</t>
    </r>
    <r>
      <rPr>
        <sz val="11"/>
        <color rgb="FF000000"/>
        <rFont val="Calibri"/>
        <family val="2"/>
      </rPr>
      <t xml:space="preserve"> al componente</t>
    </r>
    <r>
      <rPr>
        <b/>
        <sz val="11"/>
        <color rgb="FF000000"/>
        <rFont val="Calibri"/>
        <family val="2"/>
      </rPr>
      <t xml:space="preserve"> midd-originacion-transacciones-proveedor-token </t>
    </r>
  </si>
  <si>
    <r>
      <t xml:space="preserve">Crear secrets managers del componente </t>
    </r>
    <r>
      <rPr>
        <b/>
        <sz val="11"/>
        <color rgb="FF000000"/>
        <rFont val="Calibri"/>
        <family val="2"/>
      </rPr>
      <t>midd-originacion-transacciones-macropay</t>
    </r>
    <r>
      <rPr>
        <sz val="11"/>
        <color rgb="FF000000"/>
        <rFont val="Calibri"/>
        <family val="2"/>
      </rPr>
      <t xml:space="preserve"> en QA3 de acuerdo al archivo: </t>
    </r>
    <r>
      <rPr>
        <b/>
        <sz val="11"/>
        <color rgb="FF000000"/>
        <rFont val="Calibri"/>
        <family val="2"/>
      </rPr>
      <t>midd-originacion-transacciones-macropay.json</t>
    </r>
  </si>
  <si>
    <r>
      <t xml:space="preserve">Asignar el password creado del usuario </t>
    </r>
    <r>
      <rPr>
        <b/>
        <sz val="11"/>
        <color rgb="FF000000"/>
        <rFont val="Calibri"/>
        <family val="2"/>
      </rPr>
      <t xml:space="preserve">srv-transacciones-dale_qa3 </t>
    </r>
    <r>
      <rPr>
        <sz val="11"/>
        <color rgb="FF000000"/>
        <rFont val="Calibri"/>
        <family val="2"/>
      </rPr>
      <t xml:space="preserve">a la variable de entorno </t>
    </r>
    <r>
      <rPr>
        <b/>
        <sz val="11"/>
        <color rgb="FF000000"/>
        <rFont val="Calibri"/>
        <family val="2"/>
      </rPr>
      <t>DB_PASSWORD</t>
    </r>
    <r>
      <rPr>
        <sz val="11"/>
        <color rgb="FF000000"/>
        <rFont val="Calibri"/>
        <family val="2"/>
      </rPr>
      <t xml:space="preserve"> al componente</t>
    </r>
    <r>
      <rPr>
        <b/>
        <sz val="11"/>
        <color rgb="FF000000"/>
        <rFont val="Calibri"/>
        <family val="2"/>
      </rPr>
      <t xml:space="preserve"> midd-originacion-transacciones-macropay</t>
    </r>
  </si>
  <si>
    <r>
      <t xml:space="preserve">Crear secrets managers del componente </t>
    </r>
    <r>
      <rPr>
        <b/>
        <sz val="11"/>
        <color rgb="FF000000"/>
        <rFont val="Calibri"/>
        <family val="2"/>
      </rPr>
      <t>midd-originacion-transacciones-proveedor</t>
    </r>
    <r>
      <rPr>
        <sz val="11"/>
        <color rgb="FF000000"/>
        <rFont val="Calibri"/>
        <family val="2"/>
      </rPr>
      <t xml:space="preserve"> en QA3 de acuerdo al archivo: </t>
    </r>
    <r>
      <rPr>
        <b/>
        <sz val="11"/>
        <color rgb="FF000000"/>
        <rFont val="Calibri"/>
        <family val="2"/>
      </rPr>
      <t>midd-originacion-transacciones-proveedor.json</t>
    </r>
  </si>
  <si>
    <r>
      <t xml:space="preserve">Crear secrets managers del componente </t>
    </r>
    <r>
      <rPr>
        <b/>
        <sz val="11"/>
        <color rgb="FF000000"/>
        <rFont val="Calibri"/>
        <family val="2"/>
      </rPr>
      <t>midd-pf-terms</t>
    </r>
    <r>
      <rPr>
        <sz val="11"/>
        <color rgb="FF000000"/>
        <rFont val="Calibri"/>
        <family val="2"/>
      </rPr>
      <t xml:space="preserve"> en QA3 de acuerdo al archivo: </t>
    </r>
    <r>
      <rPr>
        <b/>
        <sz val="11"/>
        <color rgb="FF000000"/>
        <rFont val="Calibri"/>
        <family val="2"/>
      </rPr>
      <t>midd-pf-terms.json</t>
    </r>
  </si>
  <si>
    <t xml:space="preserve">ACTIVIDADES DE LIBERACION </t>
  </si>
  <si>
    <r>
      <t xml:space="preserve">Realizar el redespliegue de </t>
    </r>
    <r>
      <rPr>
        <b/>
        <sz val="11"/>
        <color rgb="FF000000"/>
        <rFont val="Calibri"/>
        <family val="2"/>
      </rPr>
      <t>https://github.com/MacropayTD/midd-pf-terms
Tarea 1 de la pagina INFRA Y DEVOPS</t>
    </r>
  </si>
  <si>
    <r>
      <t xml:space="preserve">Realizar el despliegue de </t>
    </r>
    <r>
      <rPr>
        <b/>
        <sz val="11"/>
        <color rgb="FF000000"/>
        <rFont val="Calibri"/>
        <family val="2"/>
      </rPr>
      <t>https://github.com/MacropayTD/midd-originacion-transacciones-proveedor
Tarea 2 de la pagina INFRA Y DEVOPS</t>
    </r>
  </si>
  <si>
    <r>
      <t xml:space="preserve">Brindar el balanceador al equipo cloud para el dominio creado en el paso </t>
    </r>
    <r>
      <rPr>
        <b/>
        <sz val="11"/>
        <color rgb="FF000000"/>
        <rFont val="Calibri"/>
        <family val="2"/>
      </rPr>
      <t xml:space="preserve">#2 </t>
    </r>
    <r>
      <rPr>
        <sz val="11"/>
        <color rgb="FF000000"/>
        <rFont val="Calibri"/>
        <family val="2"/>
      </rPr>
      <t>de las actividades de liberación</t>
    </r>
  </si>
  <si>
    <r>
      <t xml:space="preserve">Agregar al WAF de AWS el balanceador proporcionado en el paso </t>
    </r>
    <r>
      <rPr>
        <b/>
        <sz val="11"/>
        <color rgb="FF000000"/>
        <rFont val="Calibri"/>
        <family val="2"/>
      </rPr>
      <t>#4</t>
    </r>
    <r>
      <rPr>
        <sz val="11"/>
        <color rgb="FF000000"/>
        <rFont val="Calibri"/>
        <family val="2"/>
      </rPr>
      <t xml:space="preserve"> por el equipo Devops</t>
    </r>
  </si>
  <si>
    <r>
      <rPr>
        <sz val="11"/>
        <color rgb="FF000000"/>
        <rFont val="Calibri"/>
        <family val="2"/>
      </rPr>
      <t xml:space="preserve">Crear Dominio de tipo </t>
    </r>
    <r>
      <rPr>
        <sz val="11"/>
        <color rgb="FFFF0000"/>
        <rFont val="Calibri"/>
        <family val="2"/>
      </rPr>
      <t>Publico</t>
    </r>
    <r>
      <rPr>
        <sz val="11"/>
        <color rgb="FF000000"/>
        <rFont val="Calibri"/>
        <family val="2"/>
      </rPr>
      <t xml:space="preserve">: </t>
    </r>
    <r>
      <rPr>
        <b/>
        <sz val="11"/>
        <color rgb="FF000000"/>
        <rFont val="Calibri"/>
        <family val="2"/>
      </rPr>
      <t xml:space="preserve">amiddoriginaciondale-qa3.macropay.mx
</t>
    </r>
    <r>
      <rPr>
        <sz val="11"/>
        <color rgb="FF000000"/>
        <rFont val="Calibri"/>
        <family val="2"/>
      </rPr>
      <t xml:space="preserve">Certificado: SSL (Considerar el certificado creado en el paso </t>
    </r>
    <r>
      <rPr>
        <b/>
        <sz val="11"/>
        <color rgb="FF000000"/>
        <rFont val="Calibri"/>
        <family val="2"/>
      </rPr>
      <t xml:space="preserve">#20 </t>
    </r>
    <r>
      <rPr>
        <sz val="11"/>
        <color rgb="FF000000"/>
        <rFont val="Calibri"/>
        <family val="2"/>
      </rPr>
      <t xml:space="preserve">de las actividades previas)
Mapeo del balanceador del paso </t>
    </r>
    <r>
      <rPr>
        <b/>
        <sz val="11"/>
        <color rgb="FF000000"/>
        <rFont val="Calibri"/>
        <family val="2"/>
      </rPr>
      <t xml:space="preserve">#3 </t>
    </r>
    <r>
      <rPr>
        <sz val="11"/>
        <color rgb="FF000000"/>
        <rFont val="Calibri"/>
        <family val="2"/>
      </rPr>
      <t>de las actividades de liberación</t>
    </r>
  </si>
  <si>
    <r>
      <t xml:space="preserve">Realizar el despliegue de </t>
    </r>
    <r>
      <rPr>
        <b/>
        <sz val="11"/>
        <color rgb="FF000000"/>
        <rFont val="Calibri"/>
        <family val="2"/>
      </rPr>
      <t>https://github.com/MacropayTD/midd-originacion-transacciones-proveedor-token
Tarea 3 de la pagina INFRA Y DEVOPS</t>
    </r>
  </si>
  <si>
    <r>
      <t xml:space="preserve">Brindar el balanceador al equipo cloud para el dominio creado en el paso </t>
    </r>
    <r>
      <rPr>
        <b/>
        <sz val="11"/>
        <color rgb="FF000000"/>
        <rFont val="Calibri"/>
        <family val="2"/>
      </rPr>
      <t xml:space="preserve">#6 </t>
    </r>
    <r>
      <rPr>
        <sz val="11"/>
        <color rgb="FF000000"/>
        <rFont val="Calibri"/>
        <family val="2"/>
      </rPr>
      <t>de las actividades de liberación</t>
    </r>
  </si>
  <si>
    <r>
      <t xml:space="preserve">Realizar el redespliegue de </t>
    </r>
    <r>
      <rPr>
        <b/>
        <sz val="11"/>
        <color rgb="FF000000"/>
        <rFont val="Calibri"/>
        <family val="2"/>
      </rPr>
      <t>https://github.com/MacropayTD/midd-pf-biometric
Tarea 4 de la pagina INFRA Y DEVOPS</t>
    </r>
  </si>
  <si>
    <r>
      <t xml:space="preserve">Realizar el despliegue de </t>
    </r>
    <r>
      <rPr>
        <b/>
        <sz val="11"/>
        <color rgb="FF000000"/>
        <rFont val="Calibri"/>
        <family val="2"/>
      </rPr>
      <t>https://github.com/MacropayTD/midd-originacion-transacciones-macropay
Tarea 5 de la pagina INFRA Y DEVOPS</t>
    </r>
  </si>
  <si>
    <r>
      <t xml:space="preserve">Brindar el balanceador al equipo cloud para el dominio creado en el paso </t>
    </r>
    <r>
      <rPr>
        <b/>
        <sz val="11"/>
        <color rgb="FF000000"/>
        <rFont val="Calibri"/>
        <family val="2"/>
      </rPr>
      <t xml:space="preserve">#10 </t>
    </r>
    <r>
      <rPr>
        <sz val="11"/>
        <color rgb="FF000000"/>
        <rFont val="Calibri"/>
        <family val="2"/>
      </rPr>
      <t>de las actividades de liberación</t>
    </r>
  </si>
  <si>
    <r>
      <rPr>
        <sz val="11"/>
        <color rgb="FF000000"/>
        <rFont val="Calibri"/>
        <family val="2"/>
      </rPr>
      <t xml:space="preserve">Crear Dominio de tipo </t>
    </r>
    <r>
      <rPr>
        <sz val="11"/>
        <color rgb="FFFF0000"/>
        <rFont val="Calibri"/>
        <family val="2"/>
      </rPr>
      <t>Privado</t>
    </r>
    <r>
      <rPr>
        <sz val="11"/>
        <color rgb="FF000000"/>
        <rFont val="Calibri"/>
        <family val="2"/>
      </rPr>
      <t xml:space="preserve">: </t>
    </r>
    <r>
      <rPr>
        <b/>
        <sz val="11"/>
        <color rgb="FF000000"/>
        <rFont val="Calibri"/>
        <family val="2"/>
      </rPr>
      <t xml:space="preserve">amiddtransaccionesdale-qa3.macropay.mx
</t>
    </r>
    <r>
      <rPr>
        <sz val="11"/>
        <color rgb="FF000000"/>
        <rFont val="Calibri"/>
        <family val="2"/>
      </rPr>
      <t xml:space="preserve">Certificado: SSL (Considerar el certificado creado en el paso </t>
    </r>
    <r>
      <rPr>
        <b/>
        <sz val="11"/>
        <color rgb="FF000000"/>
        <rFont val="Calibri"/>
        <family val="2"/>
      </rPr>
      <t xml:space="preserve">#19 </t>
    </r>
    <r>
      <rPr>
        <sz val="11"/>
        <color rgb="FF000000"/>
        <rFont val="Calibri"/>
        <family val="2"/>
      </rPr>
      <t xml:space="preserve">de las actividades previas)
Mapeo del balanceador del paso </t>
    </r>
    <r>
      <rPr>
        <b/>
        <sz val="11"/>
        <color rgb="FF000000"/>
        <rFont val="Calibri"/>
        <family val="2"/>
      </rPr>
      <t xml:space="preserve">#11 </t>
    </r>
    <r>
      <rPr>
        <sz val="11"/>
        <color rgb="FF000000"/>
        <rFont val="Calibri"/>
        <family val="2"/>
      </rPr>
      <t>de las actividades de liberación</t>
    </r>
  </si>
  <si>
    <r>
      <t xml:space="preserve">Realizar el redespliegue de </t>
    </r>
    <r>
      <rPr>
        <b/>
        <sz val="11"/>
        <color rgb="FF000000"/>
        <rFont val="Calibri"/>
        <family val="2"/>
      </rPr>
      <t>https://github.com/MacropayTD/midd-pf-personal-data
Tarea 6 de la pagina INFRA Y DEVOPS</t>
    </r>
  </si>
  <si>
    <r>
      <t xml:space="preserve">Realizar el redespliegue de </t>
    </r>
    <r>
      <rPr>
        <b/>
        <sz val="11"/>
        <color rgb="FF000000"/>
        <rFont val="Calibri"/>
        <family val="2"/>
      </rPr>
      <t>https://github.com/MacropayTD/back-api-belvo-imms
Tarea 7 de la pagina INFRA Y DEVOPS</t>
    </r>
  </si>
  <si>
    <r>
      <t xml:space="preserve">Realizar el redespliegue de </t>
    </r>
    <r>
      <rPr>
        <b/>
        <sz val="11"/>
        <color rgb="FF000000"/>
        <rFont val="Calibri"/>
        <family val="2"/>
      </rPr>
      <t>https://github.dev/MacropayTD/midd-pf-score-telcel
Tarea 8 de la pagina INFRA Y DEVOPS</t>
    </r>
  </si>
  <si>
    <r>
      <t xml:space="preserve">Realizar el redespliegue de </t>
    </r>
    <r>
      <rPr>
        <b/>
        <sz val="11"/>
        <color rgb="FF000000"/>
        <rFont val="Calibri"/>
        <family val="2"/>
      </rPr>
      <t>https://github.com/MacropayTD/midd-pf-score
Tarea 9 de la pagina INFRA Y DEVOPS</t>
    </r>
  </si>
  <si>
    <r>
      <t xml:space="preserve">Realizar el redespliegue de </t>
    </r>
    <r>
      <rPr>
        <b/>
        <sz val="11"/>
        <color rgb="FF000000"/>
        <rFont val="Calibri"/>
        <family val="2"/>
      </rPr>
      <t>https://github.com/MacropayTD/Midd-camus-biometrics
Tarea 10 de la pagina INFRA Y DEVOPS</t>
    </r>
  </si>
  <si>
    <r>
      <t xml:space="preserve">Realizar el redespliegue de </t>
    </r>
    <r>
      <rPr>
        <b/>
        <sz val="11"/>
        <color rgb="FF000000"/>
        <rFont val="Calibri"/>
        <family val="2"/>
      </rPr>
      <t>https://github.com/MacropayTD/front-finacing-mf-biometrics-incode
Tarea 12 de la pagina INFRA Y DEVOPS</t>
    </r>
  </si>
  <si>
    <r>
      <t xml:space="preserve">Realizar el redespliegue de </t>
    </r>
    <r>
      <rPr>
        <b/>
        <sz val="11"/>
        <color rgb="FF000000"/>
        <rFont val="Calibri"/>
        <family val="2"/>
      </rPr>
      <t>https://github.com/MacropayTD/front-pf-biometrics
Tarea 13 de la pagina INFRA Y DEVOPS</t>
    </r>
  </si>
  <si>
    <r>
      <t xml:space="preserve">Realizar el redespliegue de </t>
    </r>
    <r>
      <rPr>
        <b/>
        <sz val="11"/>
        <color rgb="FF000000"/>
        <rFont val="Calibri"/>
        <family val="2"/>
      </rPr>
      <t>https://github.com/MacropayTD/back-api-sage-maker
Tarea 14 de la pagina INFRA Y DEVOPS</t>
    </r>
  </si>
  <si>
    <t xml:space="preserve">No. </t>
  </si>
  <si>
    <t>Descripción de la validación</t>
  </si>
  <si>
    <t>Identificador</t>
  </si>
  <si>
    <t>Tipo de Servicio</t>
  </si>
  <si>
    <t>Server AWS(EKS)</t>
  </si>
  <si>
    <t>Lambda (serveless)</t>
  </si>
  <si>
    <t xml:space="preserve">Tipo de publicacion </t>
  </si>
  <si>
    <t>Interna  (No se expone a internet)</t>
  </si>
  <si>
    <t>Externa  (Se expone a internet)</t>
  </si>
  <si>
    <t>Repositorio</t>
  </si>
  <si>
    <t>https://github.com/MacropayTD/midd-pf-terms</t>
  </si>
  <si>
    <t>https://github.com/MacropayTD/midd-originacion-transacciones-proveedor</t>
  </si>
  <si>
    <t>https://github.com/MacropayTD/midd-originacion-transacciones-proveedor-token</t>
  </si>
  <si>
    <t>https://github.com/MacropayTD/midd-pf-biometric</t>
  </si>
  <si>
    <t>https://github.com/MacropayTD/midd-originacion-transacciones-macropay</t>
  </si>
  <si>
    <t>https://github.com/MacropayTD/midd-pf-personal-data</t>
  </si>
  <si>
    <t>https://github.com/MacropayTD/back-api-belvo-imms</t>
  </si>
  <si>
    <t>https://github.com/MacropayTD/midd-pf-score-telcel</t>
  </si>
  <si>
    <t>https://github.com/MacropayTD/midd-pf-score</t>
  </si>
  <si>
    <t>https://github.com/MacropayTD/Midd-camus-biometrics</t>
  </si>
  <si>
    <t>https://github.com/MacropayTD/midd-pf-clienteIncode</t>
  </si>
  <si>
    <t>https://github.com/MacropayTD/front-finacing-mf-biometrics-incode</t>
  </si>
  <si>
    <t>https://github.com/MacropayTD/front-pf-biometrics</t>
  </si>
  <si>
    <t>https://github.com/MacropayTD/back-api-sage-maker</t>
  </si>
  <si>
    <t>Pull Request</t>
  </si>
  <si>
    <t>#53</t>
  </si>
  <si>
    <t>#48</t>
  </si>
  <si>
    <t>#15</t>
  </si>
  <si>
    <t>#64</t>
  </si>
  <si>
    <t>#55</t>
  </si>
  <si>
    <t>#213</t>
  </si>
  <si>
    <t>#31</t>
  </si>
  <si>
    <t>#241</t>
  </si>
  <si>
    <t>#75</t>
  </si>
  <si>
    <t>#83</t>
  </si>
  <si>
    <t>#181</t>
  </si>
  <si>
    <t>#284</t>
  </si>
  <si>
    <t>#123</t>
  </si>
  <si>
    <t>Ramas de integración</t>
  </si>
  <si>
    <t>Release</t>
  </si>
  <si>
    <t>Commit</t>
  </si>
  <si>
    <t>71284a70feb002550b2b5f9ca13a4d1bcea17241</t>
  </si>
  <si>
    <t>839dc9e9f02bd40ee82e3074de02bf7cde088900</t>
  </si>
  <si>
    <t>b37d7dcfabb6e51c491708a25f9eb36efe9c0dc8</t>
  </si>
  <si>
    <t>ed7407f73835715df9d01494cccd97f6e0d970cf</t>
  </si>
  <si>
    <t>fa7a3e1cc6fce1fc7fc1df3284a80b5a98689543</t>
  </si>
  <si>
    <t>910d821805f8f1f4201a09d7822042cb70701d1a</t>
  </si>
  <si>
    <t>f600b6cbb72cd23a40990031c238005a9d8d94d2</t>
  </si>
  <si>
    <t>9d3a7afa0f21f774401c05a363c914efc972ea49</t>
  </si>
  <si>
    <t>723d01655ed7a984463c78948f7a163e5c462091</t>
  </si>
  <si>
    <t>06dc88504a28ad18cda558c655708ac66ce0ad59</t>
  </si>
  <si>
    <t>d4466c1ff9aec54bdb95a4c5fb63a38c236fc86c</t>
  </si>
  <si>
    <t>57df385ef4534357b89e29ed3e00dfb19564cb16</t>
  </si>
  <si>
    <t>e85ed20137aa42f4214839c18f05879d9286f681</t>
  </si>
  <si>
    <t>2282f4abef211fe0de77e043db883aa063e349e3</t>
  </si>
  <si>
    <t>Variables de entorno/Web.config /Archivo de despliegue</t>
  </si>
  <si>
    <r>
      <t xml:space="preserve">Las variables de entorno se encuentran en el archivo: </t>
    </r>
    <r>
      <rPr>
        <b/>
        <sz val="12"/>
        <color rgb="FF000000"/>
        <rFont val="Aptos Display"/>
        <family val="2"/>
      </rPr>
      <t>/midd-pf-terms.json</t>
    </r>
  </si>
  <si>
    <r>
      <t xml:space="preserve">Las variables de entorno se encuentran en el archivo: </t>
    </r>
    <r>
      <rPr>
        <b/>
        <sz val="12"/>
        <color rgb="FF000000"/>
        <rFont val="Aptos Display"/>
        <family val="2"/>
      </rPr>
      <t>/midd-originacion-transacciones-proveedor.json</t>
    </r>
  </si>
  <si>
    <r>
      <t xml:space="preserve">Las variables de entorno se encuentran en el archivo: </t>
    </r>
    <r>
      <rPr>
        <b/>
        <sz val="12"/>
        <color rgb="FF000000"/>
        <rFont val="Aptos Display"/>
        <family val="2"/>
      </rPr>
      <t>/midd-originacion-transacciones-proveedor-token.json</t>
    </r>
  </si>
  <si>
    <t>Se mantienen las variables existentes</t>
  </si>
  <si>
    <r>
      <t xml:space="preserve">Las variables de entorno se encuentran en el archivo: </t>
    </r>
    <r>
      <rPr>
        <b/>
        <sz val="12"/>
        <color rgb="FF000000"/>
        <rFont val="Aptos Display"/>
        <family val="2"/>
      </rPr>
      <t>/midd-originacion-transacciones-macropay.json</t>
    </r>
  </si>
  <si>
    <r>
      <t>Las variables de entorno se encuentran en el archivo:</t>
    </r>
    <r>
      <rPr>
        <b/>
        <sz val="12"/>
        <color rgb="FF000000"/>
        <rFont val="Aptos Display"/>
        <family val="2"/>
      </rPr>
      <t xml:space="preserve"> /back-api-belvo-imms.json</t>
    </r>
  </si>
  <si>
    <t>URL</t>
  </si>
  <si>
    <t>https://midd-pf-qa3.macropay.mx</t>
  </si>
  <si>
    <t>https://amiddoriginaciondale-qa3.macropay.mx</t>
  </si>
  <si>
    <t>https://amiddtransaccionesdaleqa3.macropay.mx</t>
  </si>
  <si>
    <t>https://lapibelvoimss-qa3.macropay.mx</t>
  </si>
  <si>
    <t>https://mm-uniqueappsync-qa-3.macropay.mx</t>
  </si>
  <si>
    <t>http://qa3-financing2.macropay.mx</t>
  </si>
  <si>
    <t>TAG/CECO</t>
  </si>
  <si>
    <t>ACTIVIDADES DE VALIDACIÓN</t>
  </si>
  <si>
    <t>ACTIVIDADES DE ROLLBACK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</si>
</sst>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Aptos Narrow"/>
      <family val="2"/>
      <scheme val="minor"/>
    </font>
    <font>
      <b/>
      <sz val="11"/>
      <color theme="0"/>
      <name val="Aptos Narrow"/>
      <family val="2"/>
      <scheme val="minor"/>
    </font>
    <font>
      <b/>
      <sz val="12"/>
      <color theme="0"/>
      <name val="Aptos Narrow"/>
      <family val="2"/>
      <scheme val="minor"/>
    </font>
    <font>
      <sz val="11"/>
      <color theme="2" tint="-0.249977111117893"/>
      <name val="Aptos Narrow"/>
      <family val="2"/>
      <scheme val="minor"/>
    </font>
    <font>
      <sz val="11"/>
      <name val="Aptos Narrow"/>
      <family val="2"/>
      <scheme val="minor"/>
    </font>
    <font>
      <sz val="11"/>
      <color theme="1"/>
      <name val="Aptos Narrow"/>
      <family val="2"/>
      <scheme val="minor"/>
    </font>
    <font>
      <sz val="72"/>
      <color theme="1"/>
      <name val="Aptos Narrow"/>
      <family val="2"/>
      <scheme val="minor"/>
    </font>
    <font>
      <b/>
      <sz val="11"/>
      <name val="Aptos Narrow"/>
      <family val="2"/>
      <scheme val="minor"/>
    </font>
    <font>
      <b/>
      <sz val="11"/>
      <color theme="0"/>
      <name val="Calibri"/>
      <family val="2"/>
    </font>
    <font>
      <sz val="11"/>
      <name val="Calibri"/>
      <family val="2"/>
    </font>
    <font>
      <sz val="11"/>
      <color theme="2" tint="-0.249977111117893"/>
      <name val="Calibri"/>
      <family val="2"/>
    </font>
    <font>
      <sz val="11"/>
      <color theme="1"/>
      <name val="Calibri"/>
      <family val="2"/>
    </font>
    <font>
      <b/>
      <sz val="12"/>
      <color theme="0"/>
      <name val="Calibri"/>
      <family val="2"/>
    </font>
    <font>
      <sz val="72"/>
      <color theme="1"/>
      <name val="Calibri"/>
      <family val="2"/>
    </font>
    <font>
      <b/>
      <sz val="11"/>
      <name val="Calibri"/>
      <family val="2"/>
    </font>
    <font>
      <sz val="10"/>
      <color theme="1"/>
      <name val="Calibri"/>
      <family val="2"/>
    </font>
    <font>
      <u/>
      <sz val="11"/>
      <color theme="10"/>
      <name val="Aptos Narrow"/>
      <family val="2"/>
      <scheme val="minor"/>
    </font>
    <font>
      <sz val="8"/>
      <name val="Aptos Narrow"/>
      <family val="2"/>
      <scheme val="minor"/>
    </font>
    <font>
      <sz val="11"/>
      <color rgb="FF000000"/>
      <name val="Calibri"/>
      <family val="2"/>
    </font>
    <font>
      <b/>
      <sz val="11"/>
      <color rgb="FF000000"/>
      <name val="Calibri"/>
      <family val="2"/>
    </font>
    <font>
      <sz val="11"/>
      <color rgb="FF000000"/>
      <name val="Aptos Narrow"/>
      <family val="2"/>
    </font>
    <font>
      <b/>
      <sz val="11"/>
      <color rgb="FF000000"/>
      <name val="Aptos Narrow"/>
      <family val="2"/>
    </font>
    <font>
      <sz val="12"/>
      <color rgb="FF000000"/>
      <name val="Aptos Display"/>
      <family val="2"/>
    </font>
    <font>
      <b/>
      <sz val="11"/>
      <color rgb="FFFF0000"/>
      <name val="Calibri"/>
      <family val="2"/>
    </font>
    <font>
      <sz val="11"/>
      <color rgb="FFFF0000"/>
      <name val="Aptos Narrow"/>
      <family val="2"/>
    </font>
    <font>
      <sz val="11"/>
      <color rgb="FFFF0000"/>
      <name val="Calibri"/>
      <family val="2"/>
    </font>
    <font>
      <b/>
      <sz val="12"/>
      <color rgb="FF000000"/>
      <name val="Aptos Display"/>
      <family val="2"/>
    </font>
    <font>
      <sz val="11"/>
      <color rgb="FF000000"/>
      <name val="Aptos Narrow"/>
      <family val="2"/>
      <scheme val="minor"/>
    </font>
    <font>
      <sz val="11"/>
      <color rgb="FFFF0000"/>
      <name val="Aptos Narrow"/>
      <family val="2"/>
      <scheme val="minor"/>
    </font>
    <font>
      <u/>
      <sz val="11"/>
      <color rgb="FF467886"/>
      <name val="Aptos Narrow"/>
      <family val="2"/>
      <scheme val="minor"/>
    </font>
    <font>
      <b/>
      <sz val="11"/>
      <color rgb="FF000000"/>
      <name val="Aptos Narrow"/>
      <family val="2"/>
      <scheme val="minor"/>
    </font>
  </fonts>
  <fills count="9">
    <fill>
      <patternFill patternType="none"/>
    </fill>
    <fill>
      <patternFill patternType="gray125"/>
    </fill>
    <fill>
      <patternFill patternType="solid">
        <fgColor theme="3" tint="9.9978637043366805E-2"/>
        <bgColor indexed="64"/>
      </patternFill>
    </fill>
    <fill>
      <patternFill patternType="solid">
        <fgColor theme="3" tint="0.249977111117893"/>
        <bgColor indexed="64"/>
      </patternFill>
    </fill>
    <fill>
      <patternFill patternType="solid">
        <fgColor rgb="FF002060"/>
        <bgColor indexed="64"/>
      </patternFill>
    </fill>
    <fill>
      <patternFill patternType="solid">
        <fgColor theme="0"/>
        <bgColor indexed="64"/>
      </patternFill>
    </fill>
    <fill>
      <patternFill patternType="solid">
        <fgColor rgb="FFFFFFCC"/>
        <bgColor rgb="FF000000"/>
      </patternFill>
    </fill>
    <fill>
      <patternFill patternType="solid">
        <fgColor rgb="FFFFFF00"/>
        <bgColor indexed="64"/>
      </patternFill>
    </fill>
    <fill>
      <patternFill patternType="solid">
        <fgColor theme="7" tint="0.79998168889431442"/>
        <bgColor indexed="64"/>
      </patternFill>
    </fill>
  </fills>
  <borders count="34">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s>
  <cellStyleXfs count="4">
    <xf numFmtId="0" fontId="0" fillId="0" borderId="0"/>
    <xf numFmtId="9" fontId="5"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cellStyleXfs>
  <cellXfs count="339">
    <xf numFmtId="0" fontId="0" fillId="0" borderId="0" xfId="0"/>
    <xf numFmtId="0" fontId="0" fillId="0" borderId="0" xfId="0" applyProtection="1">
      <protection locked="0"/>
    </xf>
    <xf numFmtId="0" fontId="0" fillId="0" borderId="2" xfId="0" applyBorder="1" applyAlignment="1" applyProtection="1">
      <alignment horizontal="center"/>
      <protection locked="0"/>
    </xf>
    <xf numFmtId="0" fontId="0" fillId="0" borderId="5" xfId="0" applyBorder="1" applyAlignment="1" applyProtection="1">
      <alignment horizontal="center"/>
      <protection locked="0"/>
    </xf>
    <xf numFmtId="0" fontId="0" fillId="0" borderId="0" xfId="0" applyAlignment="1" applyProtection="1">
      <alignment horizontal="center"/>
      <protection locked="0"/>
    </xf>
    <xf numFmtId="0" fontId="0" fillId="0" borderId="2" xfId="0" applyBorder="1" applyProtection="1">
      <protection locked="0"/>
    </xf>
    <xf numFmtId="0" fontId="1" fillId="2" borderId="9" xfId="0" applyFont="1" applyFill="1"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 fillId="2" borderId="9" xfId="0" applyFont="1" applyFill="1" applyBorder="1" applyAlignment="1" applyProtection="1">
      <alignment horizontal="center"/>
      <protection locked="0"/>
    </xf>
    <xf numFmtId="0" fontId="1" fillId="2" borderId="2" xfId="0" applyFont="1" applyFill="1" applyBorder="1" applyAlignment="1" applyProtection="1">
      <alignment vertical="center"/>
      <protection locked="0"/>
    </xf>
    <xf numFmtId="0" fontId="1" fillId="2" borderId="2" xfId="0" applyFont="1" applyFill="1" applyBorder="1" applyAlignment="1" applyProtection="1">
      <alignment vertical="center" wrapText="1"/>
      <protection locked="0"/>
    </xf>
    <xf numFmtId="0" fontId="0" fillId="0" borderId="0" xfId="0" applyAlignment="1" applyProtection="1">
      <alignment vertical="center"/>
      <protection locked="0"/>
    </xf>
    <xf numFmtId="0" fontId="1" fillId="2" borderId="7" xfId="0" applyFont="1" applyFill="1" applyBorder="1" applyAlignment="1" applyProtection="1">
      <alignment horizontal="center" vertical="center"/>
      <protection locked="0"/>
    </xf>
    <xf numFmtId="9" fontId="6" fillId="0" borderId="0" xfId="1" applyFont="1" applyBorder="1" applyAlignment="1" applyProtection="1">
      <alignment horizontal="center" vertical="center"/>
      <protection locked="0"/>
    </xf>
    <xf numFmtId="0" fontId="8" fillId="2" borderId="2" xfId="0" applyFont="1" applyFill="1" applyBorder="1" applyAlignment="1" applyProtection="1">
      <alignment vertical="center"/>
      <protection locked="0"/>
    </xf>
    <xf numFmtId="0" fontId="10" fillId="0" borderId="0" xfId="0" applyFont="1" applyAlignment="1" applyProtection="1">
      <alignment vertical="center"/>
      <protection locked="0"/>
    </xf>
    <xf numFmtId="0" fontId="8" fillId="2" borderId="2" xfId="0" applyFont="1" applyFill="1" applyBorder="1" applyAlignment="1" applyProtection="1">
      <alignment horizontal="left" vertical="center"/>
      <protection locked="0"/>
    </xf>
    <xf numFmtId="0" fontId="11" fillId="0" borderId="0" xfId="0" applyFont="1" applyAlignment="1" applyProtection="1">
      <alignment vertical="center"/>
      <protection locked="0"/>
    </xf>
    <xf numFmtId="0" fontId="8" fillId="3" borderId="2" xfId="0" applyFont="1" applyFill="1" applyBorder="1" applyAlignment="1" applyProtection="1">
      <alignment vertical="center"/>
      <protection locked="0"/>
    </xf>
    <xf numFmtId="0" fontId="8" fillId="0" borderId="0" xfId="0" applyFont="1" applyAlignment="1" applyProtection="1">
      <alignment horizontal="left" vertical="center"/>
      <protection locked="0"/>
    </xf>
    <xf numFmtId="0" fontId="11" fillId="0" borderId="0" xfId="0" applyFont="1" applyAlignment="1" applyProtection="1">
      <alignment horizontal="center" vertical="center"/>
      <protection locked="0"/>
    </xf>
    <xf numFmtId="0" fontId="11" fillId="0" borderId="0" xfId="0" applyFont="1" applyProtection="1">
      <protection locked="0"/>
    </xf>
    <xf numFmtId="9" fontId="13" fillId="0" borderId="0" xfId="1" applyFont="1" applyBorder="1" applyAlignment="1" applyProtection="1">
      <alignment horizontal="center" vertical="center"/>
      <protection locked="0"/>
    </xf>
    <xf numFmtId="0" fontId="11" fillId="0" borderId="2" xfId="0" applyFont="1" applyBorder="1" applyProtection="1">
      <protection locked="0"/>
    </xf>
    <xf numFmtId="0" fontId="8" fillId="2" borderId="9" xfId="0" applyFont="1" applyFill="1" applyBorder="1" applyAlignment="1" applyProtection="1">
      <alignment horizontal="center" vertical="center"/>
      <protection locked="0"/>
    </xf>
    <xf numFmtId="0" fontId="8" fillId="2" borderId="7" xfId="0" applyFont="1" applyFill="1" applyBorder="1" applyAlignment="1" applyProtection="1">
      <alignment horizontal="center" vertical="center"/>
      <protection locked="0"/>
    </xf>
    <xf numFmtId="0" fontId="8" fillId="2" borderId="9" xfId="0" applyFont="1" applyFill="1" applyBorder="1" applyAlignment="1" applyProtection="1">
      <alignment horizontal="center" vertical="center" wrapText="1"/>
      <protection locked="0"/>
    </xf>
    <xf numFmtId="0" fontId="11" fillId="0" borderId="0" xfId="0" applyFont="1" applyAlignment="1" applyProtection="1">
      <alignment vertical="center" wrapText="1"/>
      <protection locked="0"/>
    </xf>
    <xf numFmtId="0" fontId="0" fillId="0" borderId="8" xfId="0" applyBorder="1" applyProtection="1">
      <protection locked="0"/>
    </xf>
    <xf numFmtId="0" fontId="0" fillId="0" borderId="8" xfId="0" applyBorder="1" applyAlignment="1" applyProtection="1">
      <alignment vertical="center"/>
      <protection locked="0"/>
    </xf>
    <xf numFmtId="0" fontId="0" fillId="0" borderId="8" xfId="0" applyBorder="1" applyAlignment="1" applyProtection="1">
      <alignment horizontal="center" vertical="center"/>
      <protection locked="0"/>
    </xf>
    <xf numFmtId="0" fontId="0" fillId="0" borderId="7" xfId="0" applyBorder="1" applyProtection="1">
      <protection locked="0"/>
    </xf>
    <xf numFmtId="0" fontId="1" fillId="0" borderId="6" xfId="0" applyFont="1" applyBorder="1" applyAlignment="1" applyProtection="1">
      <alignment vertical="center"/>
      <protection locked="0"/>
    </xf>
    <xf numFmtId="0" fontId="0" fillId="0" borderId="6" xfId="0" applyBorder="1" applyAlignment="1" applyProtection="1">
      <alignment vertical="center"/>
      <protection locked="0"/>
    </xf>
    <xf numFmtId="0" fontId="0" fillId="0" borderId="6" xfId="0" applyBorder="1" applyProtection="1">
      <protection locked="0"/>
    </xf>
    <xf numFmtId="0" fontId="1" fillId="0" borderId="0" xfId="0" applyFont="1" applyAlignment="1" applyProtection="1">
      <alignment vertical="center"/>
      <protection locked="0"/>
    </xf>
    <xf numFmtId="0" fontId="11" fillId="0" borderId="0" xfId="0" applyFont="1"/>
    <xf numFmtId="0" fontId="11" fillId="0" borderId="8" xfId="0" applyFont="1" applyBorder="1" applyAlignment="1" applyProtection="1">
      <alignment horizontal="center" vertical="center"/>
      <protection locked="0"/>
    </xf>
    <xf numFmtId="0" fontId="8" fillId="2" borderId="2" xfId="0" applyFont="1" applyFill="1" applyBorder="1" applyAlignment="1">
      <alignment vertical="center"/>
    </xf>
    <xf numFmtId="0" fontId="10" fillId="0" borderId="0" xfId="0" applyFont="1" applyAlignment="1">
      <alignment vertical="center"/>
    </xf>
    <xf numFmtId="0" fontId="8" fillId="2" borderId="2" xfId="0" applyFont="1" applyFill="1" applyBorder="1" applyAlignment="1">
      <alignment horizontal="left" vertical="center"/>
    </xf>
    <xf numFmtId="0" fontId="11" fillId="0" borderId="0" xfId="0" applyFont="1" applyAlignment="1">
      <alignment vertical="center"/>
    </xf>
    <xf numFmtId="0" fontId="8" fillId="3" borderId="2" xfId="0" applyFont="1" applyFill="1" applyBorder="1" applyAlignment="1">
      <alignment vertical="center"/>
    </xf>
    <xf numFmtId="0" fontId="8" fillId="0" borderId="0" xfId="0" applyFont="1" applyAlignment="1">
      <alignment horizontal="left" vertical="center"/>
    </xf>
    <xf numFmtId="0" fontId="11" fillId="0" borderId="0" xfId="0" applyFont="1" applyAlignment="1">
      <alignment horizontal="center" vertical="center"/>
    </xf>
    <xf numFmtId="0" fontId="1" fillId="2" borderId="2" xfId="0" applyFont="1" applyFill="1" applyBorder="1" applyAlignment="1">
      <alignment vertical="center"/>
    </xf>
    <xf numFmtId="0" fontId="3" fillId="0" borderId="0" xfId="0" applyFont="1" applyAlignment="1">
      <alignment vertical="center"/>
    </xf>
    <xf numFmtId="0" fontId="1" fillId="2" borderId="2" xfId="0" applyFont="1" applyFill="1" applyBorder="1" applyAlignment="1">
      <alignment horizontal="left" vertical="center"/>
    </xf>
    <xf numFmtId="0" fontId="0" fillId="0" borderId="0" xfId="0" applyAlignment="1">
      <alignment vertical="center"/>
    </xf>
    <xf numFmtId="0" fontId="1" fillId="3" borderId="2" xfId="0" applyFont="1" applyFill="1" applyBorder="1" applyAlignment="1">
      <alignment vertical="center"/>
    </xf>
    <xf numFmtId="0" fontId="1" fillId="0" borderId="0" xfId="0" applyFont="1" applyAlignment="1">
      <alignment horizontal="left" vertical="center"/>
    </xf>
    <xf numFmtId="0" fontId="0" fillId="0" borderId="0" xfId="0" applyAlignment="1">
      <alignment horizontal="center" vertical="center"/>
    </xf>
    <xf numFmtId="0" fontId="8" fillId="0" borderId="0" xfId="0" applyFont="1" applyProtection="1">
      <protection locked="0"/>
    </xf>
    <xf numFmtId="0" fontId="15" fillId="0" borderId="0" xfId="0" applyFont="1" applyProtection="1">
      <protection locked="0"/>
    </xf>
    <xf numFmtId="0" fontId="15" fillId="0" borderId="14" xfId="0" applyFont="1" applyBorder="1" applyAlignment="1" applyProtection="1">
      <alignment horizontal="left" vertical="center"/>
      <protection locked="0"/>
    </xf>
    <xf numFmtId="0" fontId="15" fillId="0" borderId="1" xfId="0" applyFont="1" applyBorder="1" applyAlignment="1" applyProtection="1">
      <alignment horizontal="left" vertical="center"/>
      <protection locked="0"/>
    </xf>
    <xf numFmtId="0" fontId="15" fillId="0" borderId="18" xfId="0" applyFont="1" applyBorder="1" applyAlignment="1" applyProtection="1">
      <alignment horizontal="left" vertical="center"/>
      <protection locked="0"/>
    </xf>
    <xf numFmtId="9" fontId="11" fillId="0" borderId="0" xfId="1" applyFont="1" applyProtection="1">
      <protection locked="0"/>
    </xf>
    <xf numFmtId="1" fontId="11" fillId="0" borderId="17" xfId="0" applyNumberFormat="1" applyFont="1" applyBorder="1"/>
    <xf numFmtId="1" fontId="11" fillId="0" borderId="20" xfId="0" applyNumberFormat="1" applyFont="1" applyBorder="1"/>
    <xf numFmtId="0" fontId="15" fillId="0" borderId="14" xfId="0" applyFont="1" applyBorder="1"/>
    <xf numFmtId="0" fontId="15" fillId="0" borderId="1" xfId="0" applyFont="1" applyBorder="1"/>
    <xf numFmtId="0" fontId="15" fillId="0" borderId="18" xfId="0" applyFont="1" applyBorder="1"/>
    <xf numFmtId="0" fontId="1" fillId="3" borderId="2" xfId="0" applyFont="1" applyFill="1" applyBorder="1" applyProtection="1">
      <protection locked="0"/>
    </xf>
    <xf numFmtId="0" fontId="1" fillId="2" borderId="2" xfId="0" applyFont="1" applyFill="1" applyBorder="1"/>
    <xf numFmtId="0" fontId="0" fillId="0" borderId="2" xfId="0" applyBorder="1"/>
    <xf numFmtId="0" fontId="8" fillId="2" borderId="2" xfId="0" applyFont="1" applyFill="1" applyBorder="1" applyAlignment="1">
      <alignment horizontal="center"/>
    </xf>
    <xf numFmtId="0" fontId="11" fillId="0" borderId="2" xfId="0" applyFont="1" applyBorder="1" applyAlignment="1">
      <alignment horizontal="center"/>
    </xf>
    <xf numFmtId="0" fontId="8" fillId="2" borderId="3" xfId="0" applyFont="1" applyFill="1" applyBorder="1" applyAlignment="1" applyProtection="1">
      <alignment horizontal="center"/>
      <protection locked="0"/>
    </xf>
    <xf numFmtId="0" fontId="8" fillId="2" borderId="5" xfId="0" applyFont="1" applyFill="1" applyBorder="1" applyAlignment="1" applyProtection="1">
      <alignment horizontal="center"/>
      <protection locked="0"/>
    </xf>
    <xf numFmtId="0" fontId="8" fillId="2" borderId="4" xfId="0" applyFont="1" applyFill="1" applyBorder="1" applyAlignment="1" applyProtection="1">
      <alignment horizontal="center"/>
      <protection locked="0"/>
    </xf>
    <xf numFmtId="0" fontId="11" fillId="0" borderId="2" xfId="0" quotePrefix="1" applyFont="1" applyBorder="1" applyAlignment="1" applyProtection="1">
      <alignment horizontal="center" vertical="center"/>
      <protection locked="0"/>
    </xf>
    <xf numFmtId="0" fontId="1" fillId="3" borderId="2" xfId="0" applyFont="1" applyFill="1" applyBorder="1" applyAlignment="1" applyProtection="1">
      <alignment horizontal="center" vertical="center"/>
      <protection locked="0"/>
    </xf>
    <xf numFmtId="0" fontId="11" fillId="5" borderId="2" xfId="0" applyFont="1" applyFill="1" applyBorder="1" applyAlignment="1" applyProtection="1">
      <alignment horizontal="center" vertical="center"/>
      <protection locked="0"/>
    </xf>
    <xf numFmtId="0" fontId="0" fillId="5" borderId="0" xfId="0" applyFill="1" applyProtection="1">
      <protection locked="0"/>
    </xf>
    <xf numFmtId="0" fontId="4" fillId="0" borderId="0" xfId="0" applyFont="1" applyAlignment="1">
      <alignment horizontal="center" vertical="center"/>
    </xf>
    <xf numFmtId="49" fontId="11" fillId="0" borderId="2" xfId="0" quotePrefix="1" applyNumberFormat="1" applyFont="1" applyBorder="1" applyAlignment="1" applyProtection="1">
      <alignment horizontal="center" vertical="center"/>
      <protection locked="0"/>
    </xf>
    <xf numFmtId="0" fontId="14" fillId="0" borderId="3" xfId="0" applyFont="1" applyBorder="1" applyAlignment="1" applyProtection="1">
      <alignment horizontal="center" vertical="center"/>
      <protection locked="0"/>
    </xf>
    <xf numFmtId="0" fontId="14" fillId="0" borderId="4" xfId="0" applyFont="1" applyBorder="1" applyAlignment="1" applyProtection="1">
      <alignment horizontal="center" vertical="center"/>
      <protection locked="0"/>
    </xf>
    <xf numFmtId="0" fontId="14" fillId="0" borderId="5" xfId="0" applyFont="1" applyBorder="1" applyAlignment="1" applyProtection="1">
      <alignment horizontal="center" vertical="center"/>
      <protection locked="0"/>
    </xf>
    <xf numFmtId="0" fontId="11" fillId="0" borderId="3" xfId="0" applyFont="1" applyBorder="1" applyAlignment="1" applyProtection="1">
      <alignment horizontal="center" wrapText="1"/>
      <protection locked="0"/>
    </xf>
    <xf numFmtId="0" fontId="11" fillId="0" borderId="5" xfId="0" applyFont="1" applyBorder="1" applyAlignment="1" applyProtection="1">
      <alignment horizontal="center" wrapText="1"/>
      <protection locked="0"/>
    </xf>
    <xf numFmtId="0" fontId="11" fillId="0" borderId="5" xfId="0" applyFont="1" applyBorder="1" applyAlignment="1" applyProtection="1">
      <alignment horizontal="center" vertical="center"/>
      <protection locked="0"/>
    </xf>
    <xf numFmtId="0" fontId="18" fillId="5" borderId="4" xfId="0" applyFont="1" applyFill="1" applyBorder="1" applyAlignment="1" applyProtection="1">
      <alignment horizontal="center" vertical="center" wrapText="1"/>
      <protection locked="0"/>
    </xf>
    <xf numFmtId="0" fontId="11" fillId="5" borderId="4" xfId="0" applyFont="1" applyFill="1" applyBorder="1" applyAlignment="1" applyProtection="1">
      <alignment horizontal="center" vertical="center"/>
      <protection locked="0"/>
    </xf>
    <xf numFmtId="0" fontId="11" fillId="5" borderId="5" xfId="0" applyFont="1" applyFill="1" applyBorder="1" applyAlignment="1" applyProtection="1">
      <alignment horizontal="center" vertical="center"/>
      <protection locked="0"/>
    </xf>
    <xf numFmtId="0" fontId="11" fillId="0" borderId="3" xfId="0" applyFont="1" applyBorder="1" applyAlignment="1" applyProtection="1">
      <alignment horizontal="center"/>
      <protection locked="0"/>
    </xf>
    <xf numFmtId="0" fontId="11" fillId="0" borderId="5" xfId="0" applyFont="1" applyBorder="1" applyAlignment="1" applyProtection="1">
      <alignment horizontal="center"/>
      <protection locked="0"/>
    </xf>
    <xf numFmtId="0" fontId="8" fillId="2" borderId="3" xfId="0" applyFont="1" applyFill="1" applyBorder="1" applyAlignment="1" applyProtection="1">
      <alignment horizontal="center" vertical="center" wrapText="1"/>
      <protection locked="0"/>
    </xf>
    <xf numFmtId="0" fontId="8" fillId="2" borderId="4" xfId="0" applyFont="1" applyFill="1" applyBorder="1" applyAlignment="1" applyProtection="1">
      <alignment horizontal="center" vertical="center" wrapText="1"/>
      <protection locked="0"/>
    </xf>
    <xf numFmtId="0" fontId="8" fillId="2" borderId="5" xfId="0" applyFont="1" applyFill="1" applyBorder="1" applyAlignment="1" applyProtection="1">
      <alignment horizontal="center" vertical="center" wrapText="1"/>
      <protection locked="0"/>
    </xf>
    <xf numFmtId="0" fontId="8" fillId="2" borderId="6"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8" fillId="2" borderId="6" xfId="0" applyFont="1" applyFill="1" applyBorder="1" applyAlignment="1" applyProtection="1">
      <alignment horizontal="center" vertical="center" wrapText="1"/>
      <protection locked="0"/>
    </xf>
    <xf numFmtId="0" fontId="8" fillId="2" borderId="0" xfId="0" applyFont="1" applyFill="1" applyAlignment="1" applyProtection="1">
      <alignment horizontal="center" vertical="center" wrapText="1"/>
      <protection locked="0"/>
    </xf>
    <xf numFmtId="0" fontId="8" fillId="2" borderId="7" xfId="0" applyFont="1" applyFill="1" applyBorder="1" applyAlignment="1" applyProtection="1">
      <alignment horizontal="center" vertical="center" wrapText="1"/>
      <protection locked="0"/>
    </xf>
    <xf numFmtId="0" fontId="11" fillId="0" borderId="3" xfId="0" applyFont="1" applyBorder="1" applyAlignment="1" applyProtection="1">
      <alignment horizontal="center" vertical="center"/>
      <protection locked="0"/>
    </xf>
    <xf numFmtId="0" fontId="11" fillId="0" borderId="2" xfId="0" applyFont="1" applyBorder="1" applyAlignment="1" applyProtection="1">
      <alignment horizontal="center" vertical="center"/>
      <protection locked="0"/>
    </xf>
    <xf numFmtId="0" fontId="14" fillId="0" borderId="3" xfId="0" applyFont="1" applyBorder="1" applyAlignment="1" applyProtection="1">
      <alignment horizontal="center" vertical="center"/>
      <protection locked="0"/>
    </xf>
    <xf numFmtId="0" fontId="14" fillId="0" borderId="4" xfId="0" applyFont="1" applyBorder="1" applyAlignment="1" applyProtection="1">
      <alignment horizontal="center" vertical="center"/>
      <protection locked="0"/>
    </xf>
    <xf numFmtId="0" fontId="14" fillId="0" borderId="5" xfId="0" applyFont="1" applyBorder="1" applyAlignment="1" applyProtection="1">
      <alignment horizontal="center" vertical="center"/>
      <protection locked="0"/>
    </xf>
    <xf numFmtId="0" fontId="11" fillId="0" borderId="2" xfId="0" applyFont="1" applyBorder="1" applyAlignment="1" applyProtection="1">
      <alignment horizontal="center"/>
      <protection locked="0"/>
    </xf>
    <xf numFmtId="0" fontId="18" fillId="0" borderId="3" xfId="0" applyFont="1" applyBorder="1" applyAlignment="1" applyProtection="1">
      <alignment horizontal="left" vertical="center" wrapText="1"/>
      <protection locked="0"/>
    </xf>
    <xf numFmtId="0" fontId="18" fillId="0" borderId="4" xfId="0" applyFont="1" applyBorder="1" applyAlignment="1" applyProtection="1">
      <alignment horizontal="left" vertical="center" wrapText="1"/>
      <protection locked="0"/>
    </xf>
    <xf numFmtId="0" fontId="11" fillId="0" borderId="4" xfId="0" applyFont="1" applyBorder="1" applyAlignment="1" applyProtection="1">
      <alignment horizontal="left" vertical="center"/>
      <protection locked="0"/>
    </xf>
    <xf numFmtId="0" fontId="11" fillId="0" borderId="5" xfId="0" applyFont="1" applyBorder="1" applyAlignment="1" applyProtection="1">
      <alignment horizontal="left" vertical="center"/>
      <protection locked="0"/>
    </xf>
    <xf numFmtId="0" fontId="18" fillId="0" borderId="5" xfId="0" applyFont="1" applyBorder="1" applyAlignment="1" applyProtection="1">
      <alignment horizontal="left" vertical="center" wrapText="1"/>
      <protection locked="0"/>
    </xf>
    <xf numFmtId="0" fontId="11" fillId="0" borderId="3" xfId="0" applyFont="1" applyBorder="1" applyAlignment="1" applyProtection="1">
      <alignment horizontal="center" vertical="center"/>
      <protection locked="0"/>
    </xf>
    <xf numFmtId="0" fontId="11" fillId="0" borderId="5" xfId="0" applyFont="1" applyBorder="1" applyAlignment="1" applyProtection="1">
      <alignment horizontal="center" vertical="center"/>
      <protection locked="0"/>
    </xf>
    <xf numFmtId="0" fontId="11" fillId="0" borderId="2" xfId="0" applyFont="1" applyBorder="1" applyAlignment="1" applyProtection="1">
      <alignment horizontal="center" vertical="center"/>
      <protection locked="0"/>
    </xf>
    <xf numFmtId="0" fontId="18" fillId="0" borderId="3"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1" fillId="0" borderId="4" xfId="0" applyFont="1" applyBorder="1" applyAlignment="1" applyProtection="1">
      <alignment horizontal="center" vertical="center"/>
      <protection locked="0"/>
    </xf>
    <xf numFmtId="0" fontId="18" fillId="5" borderId="3" xfId="0" applyFont="1" applyFill="1" applyBorder="1" applyAlignment="1" applyProtection="1">
      <alignment horizontal="center" vertical="center" wrapText="1"/>
      <protection locked="0"/>
    </xf>
    <xf numFmtId="0" fontId="18" fillId="5" borderId="4" xfId="0" applyFont="1" applyFill="1" applyBorder="1" applyAlignment="1" applyProtection="1">
      <alignment horizontal="center" vertical="center" wrapText="1"/>
      <protection locked="0"/>
    </xf>
    <xf numFmtId="0" fontId="18" fillId="5" borderId="5" xfId="0" applyFont="1" applyFill="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locked="0"/>
    </xf>
    <xf numFmtId="0" fontId="12" fillId="2" borderId="1" xfId="0" applyFont="1" applyFill="1" applyBorder="1" applyAlignment="1" applyProtection="1">
      <alignment horizontal="center"/>
      <protection locked="0"/>
    </xf>
    <xf numFmtId="0" fontId="12" fillId="2" borderId="0" xfId="0" applyFont="1" applyFill="1" applyAlignment="1" applyProtection="1">
      <alignment horizontal="center"/>
      <protection locked="0"/>
    </xf>
    <xf numFmtId="0" fontId="11" fillId="0" borderId="3" xfId="0" applyFont="1" applyBorder="1" applyAlignment="1" applyProtection="1">
      <alignment horizontal="center" wrapText="1"/>
      <protection locked="0"/>
    </xf>
    <xf numFmtId="0" fontId="11" fillId="0" borderId="5" xfId="0" applyFont="1" applyBorder="1" applyAlignment="1" applyProtection="1">
      <alignment horizontal="center" wrapText="1"/>
      <protection locked="0"/>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6" xfId="0" applyFont="1" applyFill="1" applyBorder="1" applyAlignment="1" applyProtection="1">
      <alignment horizontal="center" vertical="center"/>
      <protection locked="0"/>
    </xf>
    <xf numFmtId="0" fontId="8" fillId="2" borderId="7" xfId="0" applyFont="1" applyFill="1" applyBorder="1" applyAlignment="1" applyProtection="1">
      <alignment horizontal="center" vertical="center"/>
      <protection locked="0"/>
    </xf>
    <xf numFmtId="0" fontId="11" fillId="0" borderId="3" xfId="0" applyFont="1" applyBorder="1" applyAlignment="1" applyProtection="1">
      <alignment horizontal="center"/>
      <protection locked="0"/>
    </xf>
    <xf numFmtId="0" fontId="11" fillId="0" borderId="4" xfId="0" applyFont="1" applyBorder="1" applyAlignment="1" applyProtection="1">
      <alignment horizontal="center"/>
      <protection locked="0"/>
    </xf>
    <xf numFmtId="0" fontId="11" fillId="0" borderId="5" xfId="0" applyFont="1" applyBorder="1" applyAlignment="1" applyProtection="1">
      <alignment horizontal="center"/>
      <protection locked="0"/>
    </xf>
    <xf numFmtId="0" fontId="8" fillId="2" borderId="0" xfId="0" applyFont="1" applyFill="1" applyAlignment="1" applyProtection="1">
      <alignment horizontal="center" vertical="center"/>
      <protection locked="0"/>
    </xf>
    <xf numFmtId="0" fontId="11" fillId="0" borderId="2" xfId="0" applyFont="1" applyBorder="1" applyAlignment="1">
      <alignment horizontal="center" vertical="center"/>
    </xf>
    <xf numFmtId="0" fontId="8" fillId="2" borderId="21" xfId="0" applyFont="1" applyFill="1" applyBorder="1" applyAlignment="1" applyProtection="1">
      <alignment horizontal="center"/>
      <protection locked="0"/>
    </xf>
    <xf numFmtId="0" fontId="8" fillId="2" borderId="22" xfId="0" applyFont="1" applyFill="1" applyBorder="1" applyAlignment="1" applyProtection="1">
      <alignment horizontal="center"/>
      <protection locked="0"/>
    </xf>
    <xf numFmtId="0" fontId="8" fillId="2" borderId="23" xfId="0" applyFont="1" applyFill="1" applyBorder="1" applyAlignment="1" applyProtection="1">
      <alignment horizontal="center"/>
      <protection locked="0"/>
    </xf>
    <xf numFmtId="9" fontId="13" fillId="0" borderId="14" xfId="1" applyFont="1" applyBorder="1" applyAlignment="1" applyProtection="1">
      <alignment horizontal="center" vertical="center"/>
      <protection locked="0"/>
    </xf>
    <xf numFmtId="9" fontId="13" fillId="0" borderId="15" xfId="1" applyFont="1" applyBorder="1" applyAlignment="1" applyProtection="1">
      <alignment horizontal="center" vertical="center"/>
      <protection locked="0"/>
    </xf>
    <xf numFmtId="9" fontId="13" fillId="0" borderId="16" xfId="1" applyFont="1" applyBorder="1" applyAlignment="1" applyProtection="1">
      <alignment horizontal="center" vertical="center"/>
      <protection locked="0"/>
    </xf>
    <xf numFmtId="9" fontId="13" fillId="0" borderId="1" xfId="1" applyFont="1" applyBorder="1" applyAlignment="1" applyProtection="1">
      <alignment horizontal="center" vertical="center"/>
      <protection locked="0"/>
    </xf>
    <xf numFmtId="9" fontId="13" fillId="0" borderId="0" xfId="1" applyFont="1" applyBorder="1" applyAlignment="1" applyProtection="1">
      <alignment horizontal="center" vertical="center"/>
      <protection locked="0"/>
    </xf>
    <xf numFmtId="9" fontId="13" fillId="0" borderId="17" xfId="1" applyFont="1" applyBorder="1" applyAlignment="1" applyProtection="1">
      <alignment horizontal="center" vertical="center"/>
      <protection locked="0"/>
    </xf>
    <xf numFmtId="9" fontId="13" fillId="0" borderId="18" xfId="1" applyFont="1" applyBorder="1" applyAlignment="1" applyProtection="1">
      <alignment horizontal="center" vertical="center"/>
      <protection locked="0"/>
    </xf>
    <xf numFmtId="9" fontId="13" fillId="0" borderId="19" xfId="1" applyFont="1" applyBorder="1" applyAlignment="1" applyProtection="1">
      <alignment horizontal="center" vertical="center"/>
      <protection locked="0"/>
    </xf>
    <xf numFmtId="9" fontId="13" fillId="0" borderId="20" xfId="1" applyFont="1" applyBorder="1" applyAlignment="1" applyProtection="1">
      <alignment horizontal="center" vertical="center"/>
      <protection locked="0"/>
    </xf>
    <xf numFmtId="0" fontId="8" fillId="2" borderId="3" xfId="0" applyFont="1" applyFill="1" applyBorder="1" applyAlignment="1" applyProtection="1">
      <alignment horizontal="center" vertical="center"/>
      <protection locked="0"/>
    </xf>
    <xf numFmtId="0" fontId="8" fillId="2" borderId="4" xfId="0" applyFont="1" applyFill="1" applyBorder="1" applyAlignment="1" applyProtection="1">
      <alignment horizontal="center" vertical="center"/>
      <protection locked="0"/>
    </xf>
    <xf numFmtId="0" fontId="8" fillId="2" borderId="5" xfId="0" applyFont="1" applyFill="1" applyBorder="1" applyAlignment="1" applyProtection="1">
      <alignment horizontal="center" vertical="center"/>
      <protection locked="0"/>
    </xf>
    <xf numFmtId="0" fontId="18" fillId="5" borderId="2" xfId="0" applyFont="1" applyFill="1" applyBorder="1" applyAlignment="1" applyProtection="1">
      <alignment horizontal="center" vertical="center" wrapText="1"/>
      <protection locked="0"/>
    </xf>
    <xf numFmtId="0" fontId="11" fillId="5" borderId="2" xfId="0" applyFont="1" applyFill="1" applyBorder="1" applyAlignment="1" applyProtection="1">
      <alignment horizontal="center" vertical="center"/>
      <protection locked="0"/>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8" fillId="2" borderId="9" xfId="0" applyFont="1" applyFill="1" applyBorder="1" applyAlignment="1">
      <alignment horizontal="left" vertical="center"/>
    </xf>
    <xf numFmtId="0" fontId="8" fillId="2" borderId="8" xfId="0" applyFont="1" applyFill="1" applyBorder="1" applyAlignment="1">
      <alignment horizontal="left" vertical="center"/>
    </xf>
    <xf numFmtId="0" fontId="8" fillId="2" borderId="13" xfId="0" applyFont="1" applyFill="1" applyBorder="1" applyAlignment="1">
      <alignment horizontal="left" vertical="center"/>
    </xf>
    <xf numFmtId="0" fontId="9" fillId="0" borderId="2" xfId="0" applyFont="1" applyBorder="1" applyAlignment="1">
      <alignment horizontal="center" vertical="center"/>
    </xf>
    <xf numFmtId="0" fontId="8" fillId="2" borderId="2" xfId="0" applyFont="1" applyFill="1" applyBorder="1" applyAlignment="1" applyProtection="1">
      <alignment horizontal="center"/>
      <protection locked="0"/>
    </xf>
    <xf numFmtId="0" fontId="8" fillId="2" borderId="0" xfId="0" applyFont="1" applyFill="1" applyAlignment="1">
      <alignment horizontal="center"/>
    </xf>
    <xf numFmtId="0" fontId="11" fillId="0" borderId="0" xfId="0" applyFont="1" applyAlignment="1">
      <alignment horizontal="center" vertical="center"/>
    </xf>
    <xf numFmtId="0" fontId="8" fillId="2" borderId="11" xfId="0" applyFont="1" applyFill="1" applyBorder="1" applyAlignment="1">
      <alignment horizontal="center"/>
    </xf>
    <xf numFmtId="0" fontId="8" fillId="2" borderId="12" xfId="0" applyFont="1" applyFill="1" applyBorder="1" applyAlignment="1">
      <alignment horizontal="center"/>
    </xf>
    <xf numFmtId="0" fontId="16" fillId="0" borderId="0" xfId="2"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6" fillId="0" borderId="0" xfId="2" applyAlignment="1" applyProtection="1">
      <alignment horizontal="center" vertical="center" wrapText="1"/>
      <protection locked="0"/>
    </xf>
    <xf numFmtId="0" fontId="8" fillId="2" borderId="6" xfId="0" applyFont="1" applyFill="1" applyBorder="1" applyAlignment="1" applyProtection="1">
      <alignment horizontal="center" vertical="center" wrapText="1"/>
      <protection locked="0"/>
    </xf>
    <xf numFmtId="0" fontId="8" fillId="2" borderId="0" xfId="0" applyFont="1" applyFill="1" applyAlignment="1" applyProtection="1">
      <alignment horizontal="center" vertical="center" wrapText="1"/>
      <protection locked="0"/>
    </xf>
    <xf numFmtId="0" fontId="8" fillId="2" borderId="7" xfId="0" applyFont="1" applyFill="1" applyBorder="1" applyAlignment="1" applyProtection="1">
      <alignment horizontal="center" vertical="center" wrapText="1"/>
      <protection locked="0"/>
    </xf>
    <xf numFmtId="0" fontId="18" fillId="5" borderId="3" xfId="0" applyFont="1" applyFill="1" applyBorder="1" applyAlignment="1" applyProtection="1">
      <alignment horizontal="left" vertical="center" wrapText="1"/>
      <protection locked="0"/>
    </xf>
    <xf numFmtId="0" fontId="18" fillId="5" borderId="4" xfId="0" applyFont="1" applyFill="1" applyBorder="1" applyAlignment="1" applyProtection="1">
      <alignment horizontal="left" vertical="center" wrapText="1"/>
      <protection locked="0"/>
    </xf>
    <xf numFmtId="0" fontId="11" fillId="5" borderId="4" xfId="0" applyFont="1" applyFill="1" applyBorder="1" applyAlignment="1" applyProtection="1">
      <alignment horizontal="left" vertical="center"/>
      <protection locked="0"/>
    </xf>
    <xf numFmtId="0" fontId="11" fillId="5" borderId="5" xfId="0" applyFont="1" applyFill="1" applyBorder="1" applyAlignment="1" applyProtection="1">
      <alignment horizontal="left" vertical="center"/>
      <protection locked="0"/>
    </xf>
    <xf numFmtId="0" fontId="8" fillId="2" borderId="3" xfId="0" applyFont="1" applyFill="1" applyBorder="1" applyAlignment="1" applyProtection="1">
      <alignment horizontal="center" vertical="center" wrapText="1"/>
      <protection locked="0"/>
    </xf>
    <xf numFmtId="0" fontId="8" fillId="2" borderId="4" xfId="0" applyFont="1" applyFill="1" applyBorder="1" applyAlignment="1" applyProtection="1">
      <alignment horizontal="center" vertical="center" wrapText="1"/>
      <protection locked="0"/>
    </xf>
    <xf numFmtId="0" fontId="8" fillId="2" borderId="5" xfId="0" applyFont="1" applyFill="1" applyBorder="1" applyAlignment="1" applyProtection="1">
      <alignment horizontal="center" vertical="center" wrapText="1"/>
      <protection locked="0"/>
    </xf>
    <xf numFmtId="0" fontId="11" fillId="0" borderId="0" xfId="0" applyFont="1" applyAlignment="1" applyProtection="1">
      <alignment horizontal="center"/>
      <protection locked="0"/>
    </xf>
    <xf numFmtId="0" fontId="15" fillId="0" borderId="0" xfId="0" applyFont="1" applyAlignment="1" applyProtection="1">
      <alignment horizontal="left"/>
      <protection locked="0"/>
    </xf>
    <xf numFmtId="0" fontId="15" fillId="0" borderId="19" xfId="0" applyFont="1" applyBorder="1" applyAlignment="1" applyProtection="1">
      <alignment horizontal="center" vertical="center"/>
      <protection locked="0"/>
    </xf>
    <xf numFmtId="0" fontId="15" fillId="0" borderId="20" xfId="0" applyFont="1" applyBorder="1" applyAlignment="1" applyProtection="1">
      <alignment horizontal="center" vertical="center"/>
      <protection locked="0"/>
    </xf>
    <xf numFmtId="0" fontId="15" fillId="0" borderId="0" xfId="0" applyFont="1" applyAlignment="1">
      <alignment horizontal="center"/>
    </xf>
    <xf numFmtId="0" fontId="15" fillId="0" borderId="17" xfId="0" applyFont="1" applyBorder="1" applyAlignment="1">
      <alignment horizontal="center"/>
    </xf>
    <xf numFmtId="0" fontId="15" fillId="0" borderId="19" xfId="0" applyFont="1" applyBorder="1" applyAlignment="1">
      <alignment horizontal="center"/>
    </xf>
    <xf numFmtId="0" fontId="15" fillId="0" borderId="20" xfId="0" applyFont="1" applyBorder="1" applyAlignment="1">
      <alignment horizontal="center"/>
    </xf>
    <xf numFmtId="0" fontId="15" fillId="0" borderId="14" xfId="0" applyFont="1" applyBorder="1" applyAlignment="1">
      <alignment horizontal="left"/>
    </xf>
    <xf numFmtId="0" fontId="15" fillId="0" borderId="15" xfId="0" applyFont="1" applyBorder="1" applyAlignment="1">
      <alignment horizontal="left"/>
    </xf>
    <xf numFmtId="0" fontId="15" fillId="0" borderId="1" xfId="0" applyFont="1" applyBorder="1" applyAlignment="1">
      <alignment horizontal="left"/>
    </xf>
    <xf numFmtId="0" fontId="15" fillId="0" borderId="0" xfId="0" applyFont="1" applyAlignment="1">
      <alignment horizontal="left"/>
    </xf>
    <xf numFmtId="0" fontId="15" fillId="0" borderId="18" xfId="0" applyFont="1" applyBorder="1" applyAlignment="1">
      <alignment horizontal="left"/>
    </xf>
    <xf numFmtId="0" fontId="15" fillId="0" borderId="19" xfId="0" applyFont="1" applyBorder="1" applyAlignment="1">
      <alignment horizontal="left"/>
    </xf>
    <xf numFmtId="0" fontId="8" fillId="4" borderId="21" xfId="0" applyFont="1" applyFill="1" applyBorder="1" applyAlignment="1">
      <alignment horizontal="center"/>
    </xf>
    <xf numFmtId="0" fontId="8" fillId="4" borderId="22" xfId="0" applyFont="1" applyFill="1" applyBorder="1" applyAlignment="1">
      <alignment horizontal="center"/>
    </xf>
    <xf numFmtId="0" fontId="8" fillId="4" borderId="23" xfId="0" applyFont="1" applyFill="1" applyBorder="1" applyAlignment="1">
      <alignment horizontal="center"/>
    </xf>
    <xf numFmtId="0" fontId="15" fillId="0" borderId="0" xfId="0" applyFont="1" applyAlignment="1" applyProtection="1">
      <alignment horizontal="center" vertical="center"/>
      <protection locked="0"/>
    </xf>
    <xf numFmtId="0" fontId="15" fillId="0" borderId="17" xfId="0" applyFont="1" applyBorder="1" applyAlignment="1" applyProtection="1">
      <alignment horizontal="center" vertical="center"/>
      <protection locked="0"/>
    </xf>
    <xf numFmtId="0" fontId="8" fillId="4" borderId="14" xfId="0" applyFont="1" applyFill="1" applyBorder="1" applyAlignment="1">
      <alignment horizontal="center"/>
    </xf>
    <xf numFmtId="0" fontId="8" fillId="4" borderId="15" xfId="0" applyFont="1" applyFill="1" applyBorder="1" applyAlignment="1">
      <alignment horizontal="center"/>
    </xf>
    <xf numFmtId="0" fontId="8" fillId="4" borderId="16" xfId="0" applyFont="1" applyFill="1" applyBorder="1" applyAlignment="1">
      <alignment horizontal="center"/>
    </xf>
    <xf numFmtId="0" fontId="15" fillId="0" borderId="15" xfId="0" applyFont="1" applyBorder="1" applyAlignment="1" applyProtection="1">
      <alignment horizontal="center" vertical="center"/>
      <protection locked="0"/>
    </xf>
    <xf numFmtId="0" fontId="15" fillId="0" borderId="16" xfId="0" applyFont="1" applyBorder="1" applyAlignment="1" applyProtection="1">
      <alignment horizontal="center" vertical="center"/>
      <protection locked="0"/>
    </xf>
    <xf numFmtId="0" fontId="8" fillId="4" borderId="21" xfId="0" applyFont="1" applyFill="1" applyBorder="1" applyAlignment="1" applyProtection="1">
      <alignment horizontal="center"/>
      <protection locked="0"/>
    </xf>
    <xf numFmtId="0" fontId="8" fillId="4" borderId="22" xfId="0" applyFont="1" applyFill="1" applyBorder="1" applyAlignment="1" applyProtection="1">
      <alignment horizontal="center"/>
      <protection locked="0"/>
    </xf>
    <xf numFmtId="0" fontId="8" fillId="4" borderId="23" xfId="0" applyFont="1" applyFill="1" applyBorder="1" applyAlignment="1" applyProtection="1">
      <alignment horizontal="center"/>
      <protection locked="0"/>
    </xf>
    <xf numFmtId="0" fontId="9" fillId="0" borderId="3" xfId="0" applyFont="1" applyBorder="1" applyAlignment="1" applyProtection="1">
      <alignment horizontal="center" vertical="center"/>
      <protection locked="0"/>
    </xf>
    <xf numFmtId="0" fontId="9" fillId="0" borderId="4" xfId="0" applyFont="1" applyBorder="1" applyAlignment="1" applyProtection="1">
      <alignment horizontal="center" vertical="center"/>
      <protection locked="0"/>
    </xf>
    <xf numFmtId="0" fontId="9" fillId="0" borderId="5" xfId="0" applyFont="1" applyBorder="1" applyAlignment="1" applyProtection="1">
      <alignment horizontal="center" vertical="center"/>
      <protection locked="0"/>
    </xf>
    <xf numFmtId="0" fontId="8" fillId="2" borderId="9" xfId="0" applyFont="1" applyFill="1" applyBorder="1" applyAlignment="1" applyProtection="1">
      <alignment horizontal="left" vertical="center"/>
      <protection locked="0"/>
    </xf>
    <xf numFmtId="0" fontId="8" fillId="2" borderId="8" xfId="0" applyFont="1" applyFill="1" applyBorder="1" applyAlignment="1" applyProtection="1">
      <alignment horizontal="left" vertical="center"/>
      <protection locked="0"/>
    </xf>
    <xf numFmtId="0" fontId="8" fillId="2" borderId="13" xfId="0" applyFont="1" applyFill="1" applyBorder="1" applyAlignment="1" applyProtection="1">
      <alignment horizontal="left" vertical="center"/>
      <protection locked="0"/>
    </xf>
    <xf numFmtId="0" fontId="9" fillId="0" borderId="2" xfId="0" applyFont="1" applyBorder="1" applyAlignment="1" applyProtection="1">
      <alignment horizontal="center" vertical="center"/>
      <protection locked="0"/>
    </xf>
    <xf numFmtId="0" fontId="11" fillId="0" borderId="2" xfId="0" applyFont="1" applyBorder="1" applyAlignment="1" applyProtection="1">
      <alignment horizontal="center" vertical="top" wrapText="1"/>
      <protection locked="0"/>
    </xf>
    <xf numFmtId="0" fontId="11" fillId="0" borderId="0" xfId="0" applyFont="1" applyAlignment="1" applyProtection="1">
      <alignment horizontal="center" vertical="center"/>
      <protection locked="0"/>
    </xf>
    <xf numFmtId="0" fontId="0" fillId="0" borderId="3" xfId="0" applyBorder="1" applyAlignment="1" applyProtection="1">
      <alignment horizontal="center"/>
      <protection locked="0"/>
    </xf>
    <xf numFmtId="0" fontId="0" fillId="0" borderId="4" xfId="0" applyBorder="1" applyAlignment="1" applyProtection="1">
      <alignment horizontal="center"/>
      <protection locked="0"/>
    </xf>
    <xf numFmtId="0" fontId="0" fillId="0" borderId="5" xfId="0" applyBorder="1" applyAlignment="1" applyProtection="1">
      <alignment horizontal="center"/>
      <protection locked="0"/>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1" fillId="2" borderId="9" xfId="0" applyFont="1" applyFill="1" applyBorder="1" applyAlignment="1">
      <alignment horizontal="left" vertical="center"/>
    </xf>
    <xf numFmtId="0" fontId="1" fillId="2" borderId="8" xfId="0" applyFont="1" applyFill="1" applyBorder="1" applyAlignment="1">
      <alignment horizontal="left" vertical="center"/>
    </xf>
    <xf numFmtId="0" fontId="1" fillId="2" borderId="13" xfId="0" applyFont="1" applyFill="1" applyBorder="1" applyAlignment="1">
      <alignment horizontal="left" vertical="center"/>
    </xf>
    <xf numFmtId="0" fontId="4" fillId="0" borderId="2" xfId="0" applyFont="1" applyBorder="1" applyAlignment="1">
      <alignment horizontal="center" vertical="center"/>
    </xf>
    <xf numFmtId="0" fontId="0" fillId="0" borderId="2" xfId="0" applyBorder="1" applyAlignment="1">
      <alignment horizontal="center" vertical="center"/>
    </xf>
    <xf numFmtId="0" fontId="1" fillId="2" borderId="3" xfId="0" applyFont="1" applyFill="1" applyBorder="1" applyAlignment="1" applyProtection="1">
      <alignment horizontal="center" vertical="center"/>
      <protection locked="0"/>
    </xf>
    <xf numFmtId="0" fontId="1" fillId="2" borderId="4" xfId="0" applyFont="1" applyFill="1" applyBorder="1" applyAlignment="1" applyProtection="1">
      <alignment horizontal="center" vertical="center"/>
      <protection locked="0"/>
    </xf>
    <xf numFmtId="0" fontId="1" fillId="2" borderId="5" xfId="0" applyFont="1" applyFill="1"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0" xfId="0" applyAlignment="1">
      <alignment horizontal="center" vertical="center"/>
    </xf>
    <xf numFmtId="0" fontId="0" fillId="0" borderId="0" xfId="0" applyAlignment="1" applyProtection="1">
      <alignment horizontal="center"/>
      <protection locked="0"/>
    </xf>
    <xf numFmtId="0" fontId="1" fillId="2" borderId="10" xfId="0" applyFont="1" applyFill="1" applyBorder="1" applyAlignment="1" applyProtection="1">
      <alignment horizontal="center"/>
      <protection locked="0"/>
    </xf>
    <xf numFmtId="0" fontId="1" fillId="2" borderId="11" xfId="0" applyFont="1" applyFill="1" applyBorder="1" applyAlignment="1" applyProtection="1">
      <alignment horizontal="center"/>
      <protection locked="0"/>
    </xf>
    <xf numFmtId="0" fontId="1" fillId="2" borderId="12" xfId="0" applyFont="1" applyFill="1" applyBorder="1" applyAlignment="1" applyProtection="1">
      <alignment horizontal="center"/>
      <protection locked="0"/>
    </xf>
    <xf numFmtId="0" fontId="20" fillId="0" borderId="3" xfId="0" applyFont="1" applyBorder="1" applyAlignment="1" applyProtection="1">
      <alignment horizontal="center" vertical="center"/>
      <protection locked="0"/>
    </xf>
    <xf numFmtId="0" fontId="20" fillId="0" borderId="4" xfId="0" applyFont="1" applyBorder="1" applyAlignment="1" applyProtection="1">
      <alignment horizontal="center" vertical="center"/>
      <protection locked="0"/>
    </xf>
    <xf numFmtId="0" fontId="20" fillId="0" borderId="5" xfId="0" applyFont="1" applyBorder="1" applyAlignment="1" applyProtection="1">
      <alignment horizontal="center" vertical="center"/>
      <protection locked="0"/>
    </xf>
    <xf numFmtId="0" fontId="28" fillId="0" borderId="3"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8" fillId="0" borderId="5" xfId="0" applyFont="1" applyBorder="1" applyAlignment="1" applyProtection="1">
      <alignment horizontal="center" vertical="center"/>
      <protection locked="0"/>
    </xf>
    <xf numFmtId="0" fontId="29" fillId="0" borderId="3" xfId="0" applyFont="1" applyBorder="1" applyAlignment="1" applyProtection="1">
      <alignment horizontal="center" vertical="center" wrapText="1"/>
      <protection locked="0"/>
    </xf>
    <xf numFmtId="0" fontId="29" fillId="0" borderId="4" xfId="0" applyFont="1" applyBorder="1" applyAlignment="1" applyProtection="1">
      <alignment horizontal="center" vertical="center" wrapText="1"/>
      <protection locked="0"/>
    </xf>
    <xf numFmtId="0" fontId="29" fillId="0" borderId="5" xfId="0" applyFont="1" applyBorder="1" applyAlignment="1" applyProtection="1">
      <alignment horizontal="center" vertical="center" wrapText="1"/>
      <protection locked="0"/>
    </xf>
    <xf numFmtId="0" fontId="30" fillId="0" borderId="3" xfId="0" applyFont="1" applyBorder="1" applyAlignment="1" applyProtection="1">
      <alignment horizontal="center" vertical="center" wrapText="1"/>
      <protection locked="0"/>
    </xf>
    <xf numFmtId="0" fontId="30" fillId="0" borderId="4" xfId="0" applyFont="1" applyBorder="1" applyAlignment="1" applyProtection="1">
      <alignment horizontal="center" vertical="center" wrapText="1"/>
      <protection locked="0"/>
    </xf>
    <xf numFmtId="0" fontId="30" fillId="0" borderId="5" xfId="0" applyFont="1" applyBorder="1" applyAlignment="1" applyProtection="1">
      <alignment horizontal="center" vertical="center" wrapText="1"/>
      <protection locked="0"/>
    </xf>
    <xf numFmtId="0" fontId="27" fillId="0" borderId="3" xfId="0" applyFont="1" applyBorder="1" applyAlignment="1" applyProtection="1">
      <alignment horizontal="center" vertical="center" wrapText="1"/>
      <protection locked="0"/>
    </xf>
    <xf numFmtId="0" fontId="27" fillId="0" borderId="4" xfId="0" applyFont="1" applyBorder="1" applyAlignment="1" applyProtection="1">
      <alignment horizontal="center" vertical="center" wrapText="1"/>
      <protection locked="0"/>
    </xf>
    <xf numFmtId="0" fontId="27" fillId="0" borderId="5" xfId="0" applyFont="1" applyBorder="1" applyAlignment="1" applyProtection="1">
      <alignment horizontal="center" vertical="center" wrapText="1"/>
      <protection locked="0"/>
    </xf>
    <xf numFmtId="0" fontId="22" fillId="6" borderId="3" xfId="0" applyFont="1" applyFill="1" applyBorder="1" applyAlignment="1" applyProtection="1">
      <alignment horizontal="center" vertical="center" wrapText="1"/>
      <protection locked="0"/>
    </xf>
    <xf numFmtId="0" fontId="22" fillId="6" borderId="4" xfId="0" applyFont="1" applyFill="1" applyBorder="1" applyAlignment="1" applyProtection="1">
      <alignment horizontal="center" vertical="center" wrapText="1"/>
      <protection locked="0"/>
    </xf>
    <xf numFmtId="0" fontId="22" fillId="6" borderId="5" xfId="0" applyFont="1" applyFill="1" applyBorder="1" applyAlignment="1" applyProtection="1">
      <alignment horizontal="center" vertical="center" wrapText="1"/>
      <protection locked="0"/>
    </xf>
    <xf numFmtId="0" fontId="27" fillId="0" borderId="33" xfId="0" applyFont="1" applyBorder="1" applyAlignment="1" applyProtection="1">
      <alignment horizontal="center" vertical="center" wrapText="1"/>
      <protection locked="0"/>
    </xf>
    <xf numFmtId="0" fontId="16" fillId="0" borderId="3" xfId="2" applyFill="1" applyBorder="1" applyAlignment="1" applyProtection="1">
      <alignment horizontal="center" vertical="center" wrapText="1"/>
      <protection locked="0"/>
    </xf>
    <xf numFmtId="0" fontId="16" fillId="0" borderId="4" xfId="2" applyFill="1" applyBorder="1" applyAlignment="1" applyProtection="1">
      <alignment horizontal="center" vertical="center" wrapText="1"/>
      <protection locked="0"/>
    </xf>
    <xf numFmtId="0" fontId="16" fillId="0" borderId="5" xfId="2" applyFill="1" applyBorder="1" applyAlignment="1" applyProtection="1">
      <alignment horizontal="center" vertical="center" wrapText="1"/>
      <protection locked="0"/>
    </xf>
    <xf numFmtId="0" fontId="30" fillId="0" borderId="33" xfId="0" applyFont="1" applyBorder="1" applyAlignment="1" applyProtection="1">
      <alignment horizontal="center" vertical="center" wrapText="1"/>
      <protection locked="0"/>
    </xf>
    <xf numFmtId="0" fontId="27" fillId="0" borderId="32" xfId="0" applyFont="1" applyBorder="1" applyAlignment="1" applyProtection="1">
      <alignment horizontal="center" vertical="center" wrapText="1"/>
      <protection locked="0"/>
    </xf>
    <xf numFmtId="0" fontId="16" fillId="0" borderId="33" xfId="2" applyBorder="1" applyAlignment="1" applyProtection="1">
      <alignment horizontal="center" vertical="center" wrapText="1"/>
      <protection locked="0"/>
    </xf>
    <xf numFmtId="0" fontId="16" fillId="0" borderId="4" xfId="3" applyBorder="1" applyAlignment="1" applyProtection="1">
      <alignment horizontal="center" vertical="center" wrapText="1"/>
      <protection locked="0"/>
    </xf>
    <xf numFmtId="0" fontId="16" fillId="0" borderId="5" xfId="3" applyBorder="1" applyAlignment="1" applyProtection="1">
      <alignment horizontal="center" vertical="center" wrapText="1"/>
      <protection locked="0"/>
    </xf>
    <xf numFmtId="0" fontId="22" fillId="6" borderId="32" xfId="0" applyFont="1" applyFill="1" applyBorder="1" applyAlignment="1" applyProtection="1">
      <alignment horizontal="center" vertical="center" wrapText="1"/>
      <protection locked="0"/>
    </xf>
    <xf numFmtId="0" fontId="21" fillId="0" borderId="3" xfId="0" applyFont="1" applyBorder="1" applyAlignment="1" applyProtection="1">
      <alignment horizontal="center" vertical="center" wrapText="1"/>
      <protection locked="0"/>
    </xf>
    <xf numFmtId="0" fontId="21" fillId="0" borderId="4" xfId="0" applyFont="1" applyBorder="1" applyAlignment="1" applyProtection="1">
      <alignment horizontal="center" vertical="center" wrapText="1"/>
      <protection locked="0"/>
    </xf>
    <xf numFmtId="0" fontId="21" fillId="0" borderId="32" xfId="0" applyFont="1" applyBorder="1" applyAlignment="1" applyProtection="1">
      <alignment horizontal="center" vertical="center" wrapText="1"/>
      <protection locked="0"/>
    </xf>
    <xf numFmtId="11" fontId="20" fillId="0" borderId="3" xfId="0" applyNumberFormat="1" applyFont="1" applyBorder="1" applyAlignment="1" applyProtection="1">
      <alignment horizontal="center" vertical="center" wrapText="1"/>
      <protection locked="0"/>
    </xf>
    <xf numFmtId="11" fontId="20" fillId="0" borderId="4" xfId="0" applyNumberFormat="1" applyFont="1" applyBorder="1" applyAlignment="1" applyProtection="1">
      <alignment horizontal="center" vertical="center" wrapText="1"/>
      <protection locked="0"/>
    </xf>
    <xf numFmtId="11" fontId="20" fillId="0" borderId="5" xfId="0" applyNumberFormat="1" applyFont="1" applyBorder="1" applyAlignment="1" applyProtection="1">
      <alignment horizontal="center" vertical="center" wrapText="1"/>
      <protection locked="0"/>
    </xf>
    <xf numFmtId="0" fontId="24" fillId="0" borderId="3" xfId="0" applyFont="1" applyBorder="1" applyAlignment="1" applyProtection="1">
      <alignment horizontal="center" vertical="center"/>
      <protection locked="0"/>
    </xf>
    <xf numFmtId="0" fontId="24" fillId="0" borderId="4" xfId="0" applyFont="1" applyBorder="1" applyAlignment="1" applyProtection="1">
      <alignment horizontal="center" vertical="center"/>
      <protection locked="0"/>
    </xf>
    <xf numFmtId="0" fontId="24" fillId="0" borderId="32" xfId="0" applyFont="1" applyBorder="1" applyAlignment="1" applyProtection="1">
      <alignment horizontal="center" vertical="center"/>
      <protection locked="0"/>
    </xf>
    <xf numFmtId="0" fontId="16" fillId="0" borderId="3" xfId="3" applyFill="1" applyBorder="1" applyAlignment="1" applyProtection="1">
      <alignment horizontal="center" vertical="center" wrapText="1"/>
      <protection locked="0"/>
    </xf>
    <xf numFmtId="0" fontId="16" fillId="0" borderId="4" xfId="3" applyFill="1" applyBorder="1" applyAlignment="1" applyProtection="1">
      <alignment horizontal="center" vertical="center" wrapText="1"/>
      <protection locked="0"/>
    </xf>
    <xf numFmtId="0" fontId="16" fillId="0" borderId="32" xfId="3" applyFill="1" applyBorder="1" applyAlignment="1" applyProtection="1">
      <alignment horizontal="center" vertical="center" wrapText="1"/>
      <protection locked="0"/>
    </xf>
    <xf numFmtId="0" fontId="16" fillId="8" borderId="3" xfId="2" applyFill="1" applyBorder="1" applyAlignment="1" applyProtection="1">
      <alignment horizontal="center" vertical="center" wrapText="1"/>
      <protection locked="0"/>
    </xf>
    <xf numFmtId="0" fontId="16" fillId="8" borderId="4" xfId="3" applyFill="1" applyBorder="1" applyAlignment="1" applyProtection="1">
      <alignment horizontal="center" vertical="center" wrapText="1"/>
      <protection locked="0"/>
    </xf>
    <xf numFmtId="0" fontId="16" fillId="8" borderId="32" xfId="3" applyFill="1" applyBorder="1" applyAlignment="1" applyProtection="1">
      <alignment horizontal="center" vertical="center" wrapText="1"/>
      <protection locked="0"/>
    </xf>
    <xf numFmtId="0" fontId="16" fillId="0" borderId="3" xfId="2" applyBorder="1" applyAlignment="1" applyProtection="1">
      <alignment horizontal="center" vertical="center" wrapText="1"/>
      <protection locked="0"/>
    </xf>
    <xf numFmtId="0" fontId="16" fillId="0" borderId="4" xfId="2" applyBorder="1" applyAlignment="1" applyProtection="1">
      <alignment horizontal="center" vertical="center" wrapText="1"/>
      <protection locked="0"/>
    </xf>
    <xf numFmtId="0" fontId="16" fillId="0" borderId="5" xfId="2" applyBorder="1" applyAlignment="1" applyProtection="1">
      <alignment horizontal="center" vertical="center" wrapText="1"/>
      <protection locked="0"/>
    </xf>
    <xf numFmtId="0" fontId="16" fillId="0" borderId="33" xfId="3" applyBorder="1" applyAlignment="1" applyProtection="1">
      <alignment horizontal="center" vertical="center" wrapText="1"/>
      <protection locked="0"/>
    </xf>
    <xf numFmtId="0" fontId="20" fillId="7" borderId="3" xfId="0" applyFont="1" applyFill="1" applyBorder="1" applyAlignment="1" applyProtection="1">
      <alignment horizontal="center" vertical="center"/>
      <protection locked="0"/>
    </xf>
    <xf numFmtId="0" fontId="20" fillId="7" borderId="4" xfId="0" applyFont="1" applyFill="1" applyBorder="1" applyAlignment="1" applyProtection="1">
      <alignment horizontal="center" vertical="center"/>
      <protection locked="0"/>
    </xf>
    <xf numFmtId="0" fontId="20" fillId="7" borderId="5" xfId="0" applyFont="1" applyFill="1" applyBorder="1" applyAlignment="1" applyProtection="1">
      <alignment horizontal="center" vertical="center"/>
      <protection locked="0"/>
    </xf>
    <xf numFmtId="0" fontId="20" fillId="0" borderId="32" xfId="0" applyFont="1" applyBorder="1" applyAlignment="1" applyProtection="1">
      <alignment horizontal="center" vertical="center"/>
      <protection locked="0"/>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6" fillId="0" borderId="3" xfId="3" applyBorder="1" applyAlignment="1" applyProtection="1">
      <alignment horizontal="center" vertical="center" wrapText="1"/>
      <protection locked="0"/>
    </xf>
    <xf numFmtId="0" fontId="16" fillId="0" borderId="32" xfId="3" applyBorder="1" applyAlignment="1" applyProtection="1">
      <alignment horizontal="center" vertical="center" wrapText="1"/>
      <protection locked="0"/>
    </xf>
    <xf numFmtId="0" fontId="0" fillId="0" borderId="2" xfId="0" applyBorder="1" applyAlignment="1" applyProtection="1">
      <alignment horizontal="center"/>
      <protection locked="0"/>
    </xf>
    <xf numFmtId="0" fontId="20" fillId="0" borderId="3" xfId="0" applyFont="1" applyBorder="1" applyAlignment="1" applyProtection="1">
      <alignment horizontal="center"/>
      <protection locked="0"/>
    </xf>
    <xf numFmtId="0" fontId="20" fillId="0" borderId="4" xfId="0" applyFont="1" applyBorder="1" applyAlignment="1" applyProtection="1">
      <alignment horizontal="center"/>
      <protection locked="0"/>
    </xf>
    <xf numFmtId="0" fontId="20" fillId="0" borderId="32" xfId="0" applyFont="1" applyBorder="1" applyAlignment="1" applyProtection="1">
      <alignment horizontal="center"/>
      <protection locked="0"/>
    </xf>
    <xf numFmtId="0" fontId="1" fillId="2" borderId="27" xfId="0" applyFont="1" applyFill="1" applyBorder="1" applyAlignment="1" applyProtection="1">
      <alignment horizontal="center"/>
      <protection locked="0"/>
    </xf>
    <xf numFmtId="0" fontId="1" fillId="2" borderId="28" xfId="0" applyFont="1" applyFill="1" applyBorder="1" applyAlignment="1" applyProtection="1">
      <alignment horizontal="center"/>
      <protection locked="0"/>
    </xf>
    <xf numFmtId="0" fontId="1" fillId="2" borderId="29" xfId="0" applyFont="1" applyFill="1" applyBorder="1" applyAlignment="1" applyProtection="1">
      <alignment horizontal="center"/>
      <protection locked="0"/>
    </xf>
    <xf numFmtId="9" fontId="6" fillId="0" borderId="30" xfId="1" applyFont="1" applyBorder="1" applyAlignment="1" applyProtection="1">
      <alignment horizontal="center" vertical="center"/>
      <protection locked="0"/>
    </xf>
    <xf numFmtId="9" fontId="6" fillId="0" borderId="15" xfId="1" applyFont="1" applyBorder="1" applyAlignment="1" applyProtection="1">
      <alignment horizontal="center" vertical="center"/>
      <protection locked="0"/>
    </xf>
    <xf numFmtId="9" fontId="6" fillId="0" borderId="31" xfId="1" applyFont="1" applyBorder="1" applyAlignment="1" applyProtection="1">
      <alignment horizontal="center" vertical="center"/>
      <protection locked="0"/>
    </xf>
    <xf numFmtId="9" fontId="6" fillId="0" borderId="6" xfId="1" applyFont="1" applyBorder="1" applyAlignment="1" applyProtection="1">
      <alignment horizontal="center" vertical="center"/>
      <protection locked="0"/>
    </xf>
    <xf numFmtId="9" fontId="6" fillId="0" borderId="0" xfId="1" applyFont="1" applyBorder="1" applyAlignment="1" applyProtection="1">
      <alignment horizontal="center" vertical="center"/>
      <protection locked="0"/>
    </xf>
    <xf numFmtId="9" fontId="6" fillId="0" borderId="7" xfId="1" applyFont="1" applyBorder="1" applyAlignment="1" applyProtection="1">
      <alignment horizontal="center" vertical="center"/>
      <protection locked="0"/>
    </xf>
    <xf numFmtId="9" fontId="6" fillId="0" borderId="10" xfId="1" applyFont="1" applyBorder="1" applyAlignment="1" applyProtection="1">
      <alignment horizontal="center" vertical="center"/>
      <protection locked="0"/>
    </xf>
    <xf numFmtId="9" fontId="6" fillId="0" borderId="11" xfId="1" applyFont="1" applyBorder="1" applyAlignment="1" applyProtection="1">
      <alignment horizontal="center" vertical="center"/>
      <protection locked="0"/>
    </xf>
    <xf numFmtId="9" fontId="6" fillId="0" borderId="12" xfId="1" applyFont="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1" fillId="2" borderId="11" xfId="0" applyFont="1" applyFill="1" applyBorder="1" applyAlignment="1" applyProtection="1">
      <alignment horizontal="center" vertical="center"/>
      <protection locked="0"/>
    </xf>
    <xf numFmtId="0" fontId="1" fillId="2" borderId="12" xfId="0" applyFont="1" applyFill="1" applyBorder="1" applyAlignment="1" applyProtection="1">
      <alignment horizontal="center" vertical="center"/>
      <protection locked="0"/>
    </xf>
    <xf numFmtId="0" fontId="0" fillId="0" borderId="24" xfId="0" applyBorder="1" applyAlignment="1" applyProtection="1">
      <alignment horizontal="center" vertical="center"/>
      <protection locked="0"/>
    </xf>
    <xf numFmtId="0" fontId="0" fillId="0" borderId="25" xfId="0" applyBorder="1" applyAlignment="1" applyProtection="1">
      <alignment horizontal="center" vertical="center"/>
      <protection locked="0"/>
    </xf>
    <xf numFmtId="0" fontId="0" fillId="0" borderId="26"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10"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7" fillId="0" borderId="4" xfId="0" applyFont="1" applyBorder="1" applyAlignment="1" applyProtection="1">
      <alignment horizontal="center" vertical="center"/>
      <protection locked="0"/>
    </xf>
    <xf numFmtId="0" fontId="7" fillId="0" borderId="5" xfId="0" applyFont="1" applyBorder="1" applyAlignment="1" applyProtection="1">
      <alignment horizontal="center" vertical="center"/>
      <protection locked="0"/>
    </xf>
    <xf numFmtId="0" fontId="1" fillId="2" borderId="6" xfId="0" applyFont="1" applyFill="1" applyBorder="1" applyAlignment="1" applyProtection="1">
      <alignment horizontal="center" vertical="center"/>
      <protection locked="0"/>
    </xf>
    <xf numFmtId="0" fontId="1" fillId="2" borderId="0" xfId="0" applyFont="1" applyFill="1" applyAlignment="1" applyProtection="1">
      <alignment horizontal="center" vertical="center"/>
      <protection locked="0"/>
    </xf>
    <xf numFmtId="0" fontId="0" fillId="0" borderId="3" xfId="0"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19" fillId="0" borderId="3" xfId="0" applyFont="1" applyBorder="1" applyAlignment="1" applyProtection="1">
      <alignment horizontal="center" wrapText="1"/>
      <protection locked="0"/>
    </xf>
    <xf numFmtId="0" fontId="19" fillId="0" borderId="4" xfId="0" applyFont="1" applyBorder="1" applyAlignment="1" applyProtection="1">
      <alignment horizontal="center" wrapText="1"/>
      <protection locked="0"/>
    </xf>
    <xf numFmtId="0" fontId="19" fillId="0" borderId="5" xfId="0" applyFont="1" applyBorder="1" applyAlignment="1" applyProtection="1">
      <alignment horizontal="center" wrapText="1"/>
      <protection locked="0"/>
    </xf>
    <xf numFmtId="0" fontId="2" fillId="2" borderId="1" xfId="0" applyFont="1" applyFill="1" applyBorder="1" applyAlignment="1" applyProtection="1">
      <alignment horizontal="center"/>
      <protection locked="0"/>
    </xf>
    <xf numFmtId="0" fontId="2" fillId="2" borderId="0" xfId="0" applyFont="1" applyFill="1" applyAlignment="1" applyProtection="1">
      <alignment horizontal="center"/>
      <protection locked="0"/>
    </xf>
    <xf numFmtId="0" fontId="0" fillId="0" borderId="3" xfId="0" applyBorder="1" applyAlignment="1" applyProtection="1">
      <alignment horizontal="center" wrapText="1"/>
      <protection locked="0"/>
    </xf>
    <xf numFmtId="0" fontId="0" fillId="0" borderId="5" xfId="0" applyBorder="1" applyAlignment="1" applyProtection="1">
      <alignment horizontal="center" wrapText="1"/>
      <protection locked="0"/>
    </xf>
    <xf numFmtId="0" fontId="1" fillId="2" borderId="7"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wrapText="1"/>
      <protection locked="0"/>
    </xf>
    <xf numFmtId="0" fontId="1" fillId="2" borderId="4" xfId="0" applyFont="1" applyFill="1" applyBorder="1" applyAlignment="1" applyProtection="1">
      <alignment horizontal="center" vertical="center" wrapText="1"/>
      <protection locked="0"/>
    </xf>
    <xf numFmtId="0" fontId="1" fillId="2" borderId="5" xfId="0" applyFont="1" applyFill="1" applyBorder="1" applyAlignment="1" applyProtection="1">
      <alignment horizontal="center" vertical="center" wrapText="1"/>
      <protection locked="0"/>
    </xf>
    <xf numFmtId="0" fontId="1" fillId="2" borderId="2" xfId="0" applyFont="1" applyFill="1" applyBorder="1" applyAlignment="1" applyProtection="1">
      <alignment horizontal="center" vertical="center"/>
      <protection locked="0"/>
    </xf>
    <xf numFmtId="0" fontId="1" fillId="2" borderId="0" xfId="0" applyFont="1" applyFill="1" applyAlignment="1">
      <alignment horizontal="center"/>
    </xf>
    <xf numFmtId="0" fontId="1" fillId="2" borderId="2" xfId="0" applyFont="1" applyFill="1" applyBorder="1" applyAlignment="1">
      <alignment horizontal="center"/>
    </xf>
    <xf numFmtId="0" fontId="11" fillId="0" borderId="2" xfId="0" applyFont="1" applyBorder="1" applyAlignment="1"/>
    <xf numFmtId="0" fontId="0" fillId="0" borderId="0" xfId="0" applyAlignment="1"/>
    <xf numFmtId="0" fontId="0" fillId="0" borderId="2" xfId="0" applyBorder="1" applyAlignment="1"/>
  </cellXfs>
  <cellStyles count="4">
    <cellStyle name="Hipervínculo" xfId="2" builtinId="8"/>
    <cellStyle name="Hyperlink" xfId="3" xr:uid="{0F915F6C-221E-454A-9772-681C43B9B965}"/>
    <cellStyle name="Normal" xfId="0" builtinId="0"/>
    <cellStyle name="Porcentaje" xfId="1" builtinId="5"/>
  </cellStyles>
  <dxfs count="12">
    <dxf>
      <fill>
        <patternFill>
          <bgColor rgb="FFC00000"/>
        </patternFill>
      </fill>
    </dxf>
    <dxf>
      <fill>
        <patternFill>
          <bgColor theme="9" tint="-0.24994659260841701"/>
        </patternFill>
      </fill>
    </dxf>
    <dxf>
      <fill>
        <patternFill>
          <bgColor theme="2" tint="-0.24994659260841701"/>
        </patternFill>
      </fill>
    </dxf>
    <dxf>
      <fill>
        <patternFill>
          <bgColor rgb="FFC00000"/>
        </patternFill>
      </fill>
    </dxf>
    <dxf>
      <fill>
        <patternFill>
          <bgColor theme="9" tint="-0.24994659260841701"/>
        </patternFill>
      </fill>
    </dxf>
    <dxf>
      <fill>
        <patternFill>
          <bgColor theme="2" tint="-0.24994659260841701"/>
        </patternFill>
      </fill>
    </dxf>
    <dxf>
      <fill>
        <patternFill>
          <bgColor rgb="FFC00000"/>
        </patternFill>
      </fill>
    </dxf>
    <dxf>
      <fill>
        <patternFill>
          <bgColor theme="9" tint="-0.24994659260841701"/>
        </patternFill>
      </fill>
    </dxf>
    <dxf>
      <fill>
        <patternFill>
          <bgColor theme="2" tint="-0.24994659260841701"/>
        </patternFill>
      </fill>
    </dxf>
    <dxf>
      <fill>
        <patternFill>
          <bgColor rgb="FFC00000"/>
        </patternFill>
      </fill>
    </dxf>
    <dxf>
      <fill>
        <patternFill>
          <bgColor theme="9" tint="-0.24994659260841701"/>
        </patternFill>
      </fill>
    </dxf>
    <dxf>
      <fill>
        <patternFill>
          <bgColor theme="2" tint="-0.24994659260841701"/>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0</xdr:colOff>
      <xdr:row>5</xdr:row>
      <xdr:rowOff>181427</xdr:rowOff>
    </xdr:to>
    <xdr:sp macro="" textlink="">
      <xdr:nvSpPr>
        <xdr:cNvPr id="2" name="Rectángulo 1">
          <a:extLst>
            <a:ext uri="{FF2B5EF4-FFF2-40B4-BE49-F238E27FC236}">
              <a16:creationId xmlns:a16="http://schemas.microsoft.com/office/drawing/2014/main" id="{C6B546E2-B5A8-4430-834A-8A178C95AD3E}"/>
            </a:ext>
          </a:extLst>
        </xdr:cNvPr>
        <xdr:cNvSpPr/>
      </xdr:nvSpPr>
      <xdr:spPr>
        <a:xfrm>
          <a:off x="0" y="0"/>
          <a:ext cx="12052300" cy="1102177"/>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EVALUACIÓN RIESGO </a:t>
          </a:r>
        </a:p>
      </xdr:txBody>
    </xdr:sp>
    <xdr:clientData/>
  </xdr:twoCellAnchor>
  <xdr:twoCellAnchor editAs="oneCell">
    <xdr:from>
      <xdr:col>0</xdr:col>
      <xdr:colOff>417284</xdr:colOff>
      <xdr:row>1</xdr:row>
      <xdr:rowOff>117928</xdr:rowOff>
    </xdr:from>
    <xdr:to>
      <xdr:col>1</xdr:col>
      <xdr:colOff>707696</xdr:colOff>
      <xdr:row>4</xdr:row>
      <xdr:rowOff>22769</xdr:rowOff>
    </xdr:to>
    <xdr:pic>
      <xdr:nvPicPr>
        <xdr:cNvPr id="3" name="Imagen 2" descr="Imagen que contiene dibujo&#10;&#10;Descripción generada automáticamente">
          <a:extLst>
            <a:ext uri="{FF2B5EF4-FFF2-40B4-BE49-F238E27FC236}">
              <a16:creationId xmlns:a16="http://schemas.microsoft.com/office/drawing/2014/main" id="{71208F06-7C4D-4766-AE18-1702FF7E66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36286</xdr:colOff>
      <xdr:row>16</xdr:row>
      <xdr:rowOff>108857</xdr:rowOff>
    </xdr:from>
    <xdr:to>
      <xdr:col>12</xdr:col>
      <xdr:colOff>0</xdr:colOff>
      <xdr:row>23</xdr:row>
      <xdr:rowOff>99786</xdr:rowOff>
    </xdr:to>
    <xdr:sp macro="" textlink="">
      <xdr:nvSpPr>
        <xdr:cNvPr id="5" name="CuadroTexto 4">
          <a:extLst>
            <a:ext uri="{FF2B5EF4-FFF2-40B4-BE49-F238E27FC236}">
              <a16:creationId xmlns:a16="http://schemas.microsoft.com/office/drawing/2014/main" id="{8B826503-73D1-4268-ADA5-6E18789087D7}"/>
            </a:ext>
          </a:extLst>
        </xdr:cNvPr>
        <xdr:cNvSpPr txBox="1"/>
      </xdr:nvSpPr>
      <xdr:spPr>
        <a:xfrm>
          <a:off x="36286" y="2848428"/>
          <a:ext cx="12036184" cy="879929"/>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Instrucciones</a:t>
          </a:r>
          <a:r>
            <a:rPr lang="es-MX" sz="1100" b="1" baseline="0"/>
            <a:t> para llenar el custionario.</a:t>
          </a:r>
        </a:p>
        <a:p>
          <a:r>
            <a:rPr lang="es-MX" sz="1100" b="0"/>
            <a:t>Asegúrate de proporcionar respuestas claras y específicas a cada pregunta del cuestionario, teniendo en cuenta cómo cada cambio podría afectar directamente la operación de Macropay. En caso de duda respecto a alguna pregunta, no dudes en consultar con los responsables pertinentes para obtener la información necesaria y garantizar la precisión de tus respuestas. Antes de enviar el formulario, revisa detenidamente todas tus respuestas para asegurarte de que estén completas y exactas.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29626</xdr:colOff>
      <xdr:row>6</xdr:row>
      <xdr:rowOff>149265</xdr:rowOff>
    </xdr:to>
    <xdr:sp macro="" textlink="">
      <xdr:nvSpPr>
        <xdr:cNvPr id="2" name="Rectángulo 1">
          <a:extLst>
            <a:ext uri="{FF2B5EF4-FFF2-40B4-BE49-F238E27FC236}">
              <a16:creationId xmlns:a16="http://schemas.microsoft.com/office/drawing/2014/main" id="{089D94B8-F11D-4EAB-7674-37735E9D5E71}"/>
            </a:ext>
          </a:extLst>
        </xdr:cNvPr>
        <xdr:cNvSpPr/>
      </xdr:nvSpPr>
      <xdr:spPr>
        <a:xfrm>
          <a:off x="0" y="0"/>
          <a:ext cx="17278535" cy="1188356"/>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a:t>
          </a:r>
        </a:p>
      </xdr:txBody>
    </xdr:sp>
    <xdr:clientData/>
  </xdr:twoCellAnchor>
  <xdr:twoCellAnchor editAs="oneCell">
    <xdr:from>
      <xdr:col>0</xdr:col>
      <xdr:colOff>417283</xdr:colOff>
      <xdr:row>1</xdr:row>
      <xdr:rowOff>122546</xdr:rowOff>
    </xdr:from>
    <xdr:to>
      <xdr:col>1</xdr:col>
      <xdr:colOff>79564</xdr:colOff>
      <xdr:row>4</xdr:row>
      <xdr:rowOff>34891</xdr:rowOff>
    </xdr:to>
    <xdr:pic>
      <xdr:nvPicPr>
        <xdr:cNvPr id="3" name="Imagen 2" descr="Imagen que contiene dibujo&#10;&#10;Descripción generada automáticamente">
          <a:extLst>
            <a:ext uri="{FF2B5EF4-FFF2-40B4-BE49-F238E27FC236}">
              <a16:creationId xmlns:a16="http://schemas.microsoft.com/office/drawing/2014/main" id="{BD4B1B9B-915E-D606-A956-D0CF405656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3" y="295728"/>
          <a:ext cx="1922996" cy="449035"/>
        </a:xfrm>
        <a:prstGeom prst="rect">
          <a:avLst/>
        </a:prstGeom>
      </xdr:spPr>
    </xdr:pic>
    <xdr:clientData/>
  </xdr:twoCellAnchor>
  <xdr:twoCellAnchor>
    <xdr:from>
      <xdr:col>0</xdr:col>
      <xdr:colOff>469756</xdr:colOff>
      <xdr:row>88</xdr:row>
      <xdr:rowOff>160855</xdr:rowOff>
    </xdr:from>
    <xdr:to>
      <xdr:col>15</xdr:col>
      <xdr:colOff>420771</xdr:colOff>
      <xdr:row>98</xdr:row>
      <xdr:rowOff>16288</xdr:rowOff>
    </xdr:to>
    <xdr:sp macro="" textlink="">
      <xdr:nvSpPr>
        <xdr:cNvPr id="4" name="CuadroTexto 3">
          <a:extLst>
            <a:ext uri="{FF2B5EF4-FFF2-40B4-BE49-F238E27FC236}">
              <a16:creationId xmlns:a16="http://schemas.microsoft.com/office/drawing/2014/main" id="{797ACA99-F243-E853-9492-6DBE597A5B6E}"/>
            </a:ext>
          </a:extLst>
        </xdr:cNvPr>
        <xdr:cNvSpPr txBox="1"/>
      </xdr:nvSpPr>
      <xdr:spPr>
        <a:xfrm>
          <a:off x="469756" y="15972355"/>
          <a:ext cx="12619265" cy="1760433"/>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1. Scripts para administración de bases de datos: </a:t>
          </a:r>
          <a:r>
            <a:rPr lang="es-MX" sz="1100" b="0"/>
            <a:t>Asegúrate de incluir la instrucción "USE" en los scripts que entregues al equipo de administración de bases de datos. Esto ayuda a especificar la base de datos en la que se deben aplicar los cambios correctamente.</a:t>
          </a:r>
        </a:p>
        <a:p>
          <a:r>
            <a:rPr lang="es-MX" sz="1100" b="1"/>
            <a:t>2. Plazos para solicitudes de cambios: </a:t>
          </a:r>
          <a:r>
            <a:rPr lang="es-MX" sz="1100" b="0"/>
            <a:t>Por favor, ten en cuenta que no se aceptarán solicitudes de cambios dos días antes del día 15 de cada mes ni en el cierre de mes. Esto nos permite garantizar la estabilidad y seguridad de los sistemas durante períodos críticos.</a:t>
          </a:r>
        </a:p>
        <a:p>
          <a:r>
            <a:rPr lang="es-MX" sz="1100" b="1"/>
            <a:t>3. Validación de RFCs: </a:t>
          </a:r>
          <a:r>
            <a:rPr lang="es-MX" sz="1100" b="0"/>
            <a:t>Todos los RFCs (Request for Change) deben ser validados previamente por el comité correspondiente antes de su implementación. Esto asegura que se haya evaluado adecuadamente el impacto y los riesgos asociados con el cambio propuesto.</a:t>
          </a:r>
        </a:p>
        <a:p>
          <a:r>
            <a:rPr lang="es-MX" sz="1100" b="1"/>
            <a:t>4. Cumplimiento con el documento establecido</a:t>
          </a:r>
          <a:r>
            <a:rPr lang="es-MX" sz="1100" b="0"/>
            <a:t>:</a:t>
          </a:r>
          <a:r>
            <a:rPr lang="es-MX" sz="1100" b="0" baseline="0"/>
            <a:t> </a:t>
          </a:r>
          <a:r>
            <a:rPr lang="es-MX" sz="1100" b="0"/>
            <a:t>Es importante que cualquier script, servicio o paso adicional esté alineado con el documento establecido. Si algún elemento no está contemplado en el documento, no se tomará en cuenta y se procederá al rollback del cambio.</a:t>
          </a:r>
        </a:p>
        <a:p>
          <a:r>
            <a:rPr lang="es-MX" sz="1100" b="1"/>
            <a:t>5. Numeración y organización de scripts: </a:t>
          </a:r>
          <a:r>
            <a:rPr lang="es-MX" sz="1100" b="0"/>
            <a:t>Los scripts deben estar numerados en el orden en que deben ser aplicados. Si hay más de 10 scripts, asegúrate de organizarlos en una carpeta para facilitar su gestión y seguimiento. Esto garantiza una implementación ordenada y sin errores.</a:t>
          </a:r>
        </a:p>
      </xdr:txBody>
    </xdr:sp>
    <xdr:clientData/>
  </xdr:twoCellAnchor>
  <xdr:twoCellAnchor>
    <xdr:from>
      <xdr:col>16</xdr:col>
      <xdr:colOff>2521</xdr:colOff>
      <xdr:row>25</xdr:row>
      <xdr:rowOff>78013</xdr:rowOff>
    </xdr:from>
    <xdr:to>
      <xdr:col>21</xdr:col>
      <xdr:colOff>11138</xdr:colOff>
      <xdr:row>29</xdr:row>
      <xdr:rowOff>87660</xdr:rowOff>
    </xdr:to>
    <xdr:sp macro="" textlink="">
      <xdr:nvSpPr>
        <xdr:cNvPr id="5" name="CuadroTexto 4">
          <a:extLst>
            <a:ext uri="{FF2B5EF4-FFF2-40B4-BE49-F238E27FC236}">
              <a16:creationId xmlns:a16="http://schemas.microsoft.com/office/drawing/2014/main" id="{90E37686-B0C1-4E5E-9D03-1BB51294329D}"/>
            </a:ext>
          </a:extLst>
        </xdr:cNvPr>
        <xdr:cNvSpPr txBox="1"/>
      </xdr:nvSpPr>
      <xdr:spPr>
        <a:xfrm>
          <a:off x="13441430" y="4078513"/>
          <a:ext cx="3818617" cy="667738"/>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Nota: </a:t>
          </a:r>
        </a:p>
        <a:p>
          <a:r>
            <a:rPr lang="es-MX" sz="1100" b="1"/>
            <a:t>Esta sección será completada por el ejecutor del Delivery Manager</a:t>
          </a:r>
          <a:r>
            <a:rPr lang="es-MX" sz="1100" b="1" baseline="0"/>
            <a:t>.</a:t>
          </a:r>
          <a:endParaRPr lang="es-MX" sz="11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0</xdr:colOff>
      <xdr:row>5</xdr:row>
      <xdr:rowOff>181427</xdr:rowOff>
    </xdr:to>
    <xdr:sp macro="" textlink="">
      <xdr:nvSpPr>
        <xdr:cNvPr id="2" name="Rectángulo 1">
          <a:extLst>
            <a:ext uri="{FF2B5EF4-FFF2-40B4-BE49-F238E27FC236}">
              <a16:creationId xmlns:a16="http://schemas.microsoft.com/office/drawing/2014/main" id="{99ECE643-79F4-489F-A576-EB3DEE9A7E7E}"/>
            </a:ext>
          </a:extLst>
        </xdr:cNvPr>
        <xdr:cNvSpPr/>
      </xdr:nvSpPr>
      <xdr:spPr>
        <a:xfrm>
          <a:off x="0" y="0"/>
          <a:ext cx="12680950" cy="1102177"/>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HITOS DE VALIDACIÓN</a:t>
          </a:r>
        </a:p>
      </xdr:txBody>
    </xdr:sp>
    <xdr:clientData/>
  </xdr:twoCellAnchor>
  <xdr:twoCellAnchor editAs="oneCell">
    <xdr:from>
      <xdr:col>0</xdr:col>
      <xdr:colOff>417284</xdr:colOff>
      <xdr:row>1</xdr:row>
      <xdr:rowOff>117928</xdr:rowOff>
    </xdr:from>
    <xdr:to>
      <xdr:col>1</xdr:col>
      <xdr:colOff>734515</xdr:colOff>
      <xdr:row>4</xdr:row>
      <xdr:rowOff>25309</xdr:rowOff>
    </xdr:to>
    <xdr:pic>
      <xdr:nvPicPr>
        <xdr:cNvPr id="3" name="Imagen 2" descr="Imagen que contiene dibujo&#10;&#10;Descripción generada automáticamente">
          <a:extLst>
            <a:ext uri="{FF2B5EF4-FFF2-40B4-BE49-F238E27FC236}">
              <a16:creationId xmlns:a16="http://schemas.microsoft.com/office/drawing/2014/main" id="{8B815EE2-E64E-47D7-985B-94133D3476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0</xdr:colOff>
      <xdr:row>26</xdr:row>
      <xdr:rowOff>173183</xdr:rowOff>
    </xdr:from>
    <xdr:to>
      <xdr:col>13</xdr:col>
      <xdr:colOff>11546</xdr:colOff>
      <xdr:row>28</xdr:row>
      <xdr:rowOff>112058</xdr:rowOff>
    </xdr:to>
    <xdr:sp macro="" textlink="">
      <xdr:nvSpPr>
        <xdr:cNvPr id="5" name="CuadroTexto 4">
          <a:extLst>
            <a:ext uri="{FF2B5EF4-FFF2-40B4-BE49-F238E27FC236}">
              <a16:creationId xmlns:a16="http://schemas.microsoft.com/office/drawing/2014/main" id="{40CB4A69-E608-49F2-BCE7-A437F3C4FD4E}"/>
            </a:ext>
          </a:extLst>
        </xdr:cNvPr>
        <xdr:cNvSpPr txBox="1"/>
      </xdr:nvSpPr>
      <xdr:spPr>
        <a:xfrm>
          <a:off x="0" y="4760124"/>
          <a:ext cx="12816134" cy="312405"/>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1.  </a:t>
          </a:r>
          <a:r>
            <a:rPr lang="es-MX" sz="1100" b="0" i="0">
              <a:solidFill>
                <a:schemeClr val="dk1"/>
              </a:solidFill>
              <a:effectLst/>
              <a:latin typeface="+mn-lt"/>
              <a:ea typeface="+mn-ea"/>
              <a:cs typeface="+mn-cs"/>
            </a:rPr>
            <a:t>Cada hito debe ser claramente definido y representar un paso significativo en el progreso hacia la finalización exitosa del despliegue.</a:t>
          </a:r>
          <a:endParaRPr lang="es-MX" sz="1100"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0</xdr:colOff>
      <xdr:row>5</xdr:row>
      <xdr:rowOff>181427</xdr:rowOff>
    </xdr:to>
    <xdr:sp macro="" textlink="">
      <xdr:nvSpPr>
        <xdr:cNvPr id="2" name="Rectángulo 1">
          <a:extLst>
            <a:ext uri="{FF2B5EF4-FFF2-40B4-BE49-F238E27FC236}">
              <a16:creationId xmlns:a16="http://schemas.microsoft.com/office/drawing/2014/main" id="{D2D894E3-99A7-47C2-A114-B6D25BA79A32}"/>
            </a:ext>
          </a:extLst>
        </xdr:cNvPr>
        <xdr:cNvSpPr/>
      </xdr:nvSpPr>
      <xdr:spPr>
        <a:xfrm>
          <a:off x="0" y="0"/>
          <a:ext cx="12801600" cy="1102177"/>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INFRA Y DEVOPS</a:t>
          </a:r>
        </a:p>
      </xdr:txBody>
    </xdr:sp>
    <xdr:clientData/>
  </xdr:twoCellAnchor>
  <xdr:twoCellAnchor editAs="oneCell">
    <xdr:from>
      <xdr:col>0</xdr:col>
      <xdr:colOff>417284</xdr:colOff>
      <xdr:row>1</xdr:row>
      <xdr:rowOff>117928</xdr:rowOff>
    </xdr:from>
    <xdr:to>
      <xdr:col>1</xdr:col>
      <xdr:colOff>282246</xdr:colOff>
      <xdr:row>3</xdr:row>
      <xdr:rowOff>170724</xdr:rowOff>
    </xdr:to>
    <xdr:pic>
      <xdr:nvPicPr>
        <xdr:cNvPr id="3" name="Imagen 2" descr="Imagen que contiene dibujo&#10;&#10;Descripción generada automáticamente">
          <a:extLst>
            <a:ext uri="{FF2B5EF4-FFF2-40B4-BE49-F238E27FC236}">
              <a16:creationId xmlns:a16="http://schemas.microsoft.com/office/drawing/2014/main" id="{68E74C3F-9FCB-4E37-B515-B0F9BCB540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81642</xdr:colOff>
      <xdr:row>25</xdr:row>
      <xdr:rowOff>127000</xdr:rowOff>
    </xdr:from>
    <xdr:to>
      <xdr:col>13</xdr:col>
      <xdr:colOff>752928</xdr:colOff>
      <xdr:row>33</xdr:row>
      <xdr:rowOff>145144</xdr:rowOff>
    </xdr:to>
    <xdr:sp macro="" textlink="">
      <xdr:nvSpPr>
        <xdr:cNvPr id="4" name="CuadroTexto 3">
          <a:extLst>
            <a:ext uri="{FF2B5EF4-FFF2-40B4-BE49-F238E27FC236}">
              <a16:creationId xmlns:a16="http://schemas.microsoft.com/office/drawing/2014/main" id="{2BFBD75A-6CBA-2159-D405-14441360066F}"/>
            </a:ext>
          </a:extLst>
        </xdr:cNvPr>
        <xdr:cNvSpPr txBox="1"/>
      </xdr:nvSpPr>
      <xdr:spPr>
        <a:xfrm>
          <a:off x="81642" y="7021286"/>
          <a:ext cx="10785929" cy="1469572"/>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MX" sz="1100" b="1" i="0" u="none" strike="noStrike">
              <a:solidFill>
                <a:schemeClr val="dk1"/>
              </a:solidFill>
              <a:effectLst/>
              <a:latin typeface="+mn-lt"/>
              <a:ea typeface="+mn-ea"/>
              <a:cs typeface="+mn-cs"/>
            </a:rPr>
            <a:t>1. Para los IIS (Servidores de Información de Internet): </a:t>
          </a:r>
          <a:r>
            <a:rPr lang="es-MX" sz="1100" b="0" i="0" u="none" strike="noStrike">
              <a:solidFill>
                <a:schemeClr val="dk1"/>
              </a:solidFill>
              <a:effectLst/>
              <a:latin typeface="+mn-lt"/>
              <a:ea typeface="+mn-ea"/>
              <a:cs typeface="+mn-cs"/>
            </a:rPr>
            <a:t>Es importante incluir el archivo "web.config" dentro de las variables de entorno. Esto ayudará a configurar correctamente el entorno de los servidores y garantizar un funcionamiento adecuado de las aplicaciones web.</a:t>
          </a:r>
          <a:r>
            <a:rPr lang="es-MX"/>
            <a:t> </a:t>
          </a:r>
        </a:p>
        <a:p>
          <a:pPr algn="l"/>
          <a:r>
            <a:rPr lang="es-MX" sz="1100" b="1" i="0" u="none" strike="noStrike">
              <a:solidFill>
                <a:schemeClr val="dk1"/>
              </a:solidFill>
              <a:effectLst/>
              <a:latin typeface="+mn-lt"/>
              <a:ea typeface="+mn-ea"/>
              <a:cs typeface="+mn-cs"/>
            </a:rPr>
            <a:t>2. Para las funciones de AWS Lambda y Docker: </a:t>
          </a:r>
          <a:r>
            <a:rPr lang="es-MX" sz="1100" b="0" i="0" u="none" strike="noStrike">
              <a:solidFill>
                <a:schemeClr val="dk1"/>
              </a:solidFill>
              <a:effectLst/>
              <a:latin typeface="+mn-lt"/>
              <a:ea typeface="+mn-ea"/>
              <a:cs typeface="+mn-cs"/>
            </a:rPr>
            <a:t>Se requiere adjuntar la Arquitectura del Despliegue (DDA) en el ticket de soporte. Esto nos permitirá comprender la estructura del despliegue y brindar la asistencia necesaria. Si prefieres, también puedes proporcionar la ruta de la carpeta que contiene el archivo en formato PDF: Path\File.pdf.</a:t>
          </a:r>
          <a:r>
            <a:rPr lang="es-MX"/>
            <a:t> </a:t>
          </a:r>
        </a:p>
        <a:p>
          <a:pPr algn="l"/>
          <a:r>
            <a:rPr lang="es-MX" sz="1100" b="1" i="0" u="none" strike="noStrike">
              <a:solidFill>
                <a:schemeClr val="dk1"/>
              </a:solidFill>
              <a:effectLst/>
              <a:latin typeface="+mn-lt"/>
              <a:ea typeface="+mn-ea"/>
              <a:cs typeface="+mn-cs"/>
            </a:rPr>
            <a:t>3. Para la instalación y encriptación con AES Crypt: </a:t>
          </a:r>
          <a:r>
            <a:rPr lang="es-MX" sz="1100" b="0" i="0" u="none" strike="noStrike">
              <a:solidFill>
                <a:schemeClr val="dk1"/>
              </a:solidFill>
              <a:effectLst/>
              <a:latin typeface="+mn-lt"/>
              <a:ea typeface="+mn-ea"/>
              <a:cs typeface="+mn-cs"/>
            </a:rPr>
            <a:t>Por favor, sigue las instrucciones detalladas en el manual titulado "Guía de Instalación y Uso de AES Crypt". Este manual proporciona orientación paso a paso sobre cómo instalar y utilizar AES Crypt para encriptar tus datos de manera segura.</a:t>
          </a:r>
          <a:r>
            <a:rPr lang="es-MX"/>
            <a:t> </a:t>
          </a:r>
        </a:p>
        <a:p>
          <a:pPr algn="l"/>
          <a:r>
            <a:rPr lang="es-MX" sz="1100" b="1" i="0" u="none" strike="noStrike">
              <a:solidFill>
                <a:schemeClr val="dk1"/>
              </a:solidFill>
              <a:effectLst/>
              <a:latin typeface="+mn-lt"/>
              <a:ea typeface="+mn-ea"/>
              <a:cs typeface="+mn-cs"/>
            </a:rPr>
            <a:t>4. Variables de entorno referenciadas: </a:t>
          </a:r>
          <a:r>
            <a:rPr lang="es-MX" sz="1100" b="0" i="0" u="none" strike="noStrike">
              <a:solidFill>
                <a:schemeClr val="dk1"/>
              </a:solidFill>
              <a:effectLst/>
              <a:latin typeface="+mn-lt"/>
              <a:ea typeface="+mn-ea"/>
              <a:cs typeface="+mn-cs"/>
            </a:rPr>
            <a:t>Asegúrate de hacer referencia a todas las variables de entorno necesarias en la documentación correspondiente. Esto garantizará que las aplicaciones y sistemas puedan acceder a la información necesaria para funcionar correctamente.</a:t>
          </a:r>
          <a:r>
            <a:rPr lang="es-MX"/>
            <a:t> </a:t>
          </a:r>
          <a:endParaRPr lang="es-MX"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739588</xdr:colOff>
      <xdr:row>5</xdr:row>
      <xdr:rowOff>178252</xdr:rowOff>
    </xdr:to>
    <xdr:sp macro="" textlink="">
      <xdr:nvSpPr>
        <xdr:cNvPr id="2" name="Rectángulo 1">
          <a:extLst>
            <a:ext uri="{FF2B5EF4-FFF2-40B4-BE49-F238E27FC236}">
              <a16:creationId xmlns:a16="http://schemas.microsoft.com/office/drawing/2014/main" id="{A532FA5A-7DA8-479E-BBED-904FBCB0DC88}"/>
            </a:ext>
          </a:extLst>
        </xdr:cNvPr>
        <xdr:cNvSpPr/>
      </xdr:nvSpPr>
      <xdr:spPr>
        <a:xfrm>
          <a:off x="0" y="0"/>
          <a:ext cx="16360588" cy="1074723"/>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ACTIVIDADES DE VALIDACIÓN</a:t>
          </a:r>
        </a:p>
      </xdr:txBody>
    </xdr:sp>
    <xdr:clientData/>
  </xdr:twoCellAnchor>
  <xdr:twoCellAnchor editAs="oneCell">
    <xdr:from>
      <xdr:col>0</xdr:col>
      <xdr:colOff>417284</xdr:colOff>
      <xdr:row>1</xdr:row>
      <xdr:rowOff>117928</xdr:rowOff>
    </xdr:from>
    <xdr:to>
      <xdr:col>1</xdr:col>
      <xdr:colOff>359807</xdr:colOff>
      <xdr:row>4</xdr:row>
      <xdr:rowOff>25309</xdr:rowOff>
    </xdr:to>
    <xdr:pic>
      <xdr:nvPicPr>
        <xdr:cNvPr id="3" name="Imagen 2" descr="Imagen que contiene dibujo&#10;&#10;Descripción generada automáticamente">
          <a:extLst>
            <a:ext uri="{FF2B5EF4-FFF2-40B4-BE49-F238E27FC236}">
              <a16:creationId xmlns:a16="http://schemas.microsoft.com/office/drawing/2014/main" id="{1690280D-053F-4D6A-AD6D-6FA9C18A05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11206</xdr:colOff>
      <xdr:row>19</xdr:row>
      <xdr:rowOff>-1</xdr:rowOff>
    </xdr:from>
    <xdr:to>
      <xdr:col>12</xdr:col>
      <xdr:colOff>19577</xdr:colOff>
      <xdr:row>28</xdr:row>
      <xdr:rowOff>163328</xdr:rowOff>
    </xdr:to>
    <xdr:sp macro="" textlink="">
      <xdr:nvSpPr>
        <xdr:cNvPr id="4" name="CuadroTexto 3">
          <a:extLst>
            <a:ext uri="{FF2B5EF4-FFF2-40B4-BE49-F238E27FC236}">
              <a16:creationId xmlns:a16="http://schemas.microsoft.com/office/drawing/2014/main" id="{5540420E-7C0D-45BB-B6BF-A36EB656939F}"/>
            </a:ext>
          </a:extLst>
        </xdr:cNvPr>
        <xdr:cNvSpPr txBox="1"/>
      </xdr:nvSpPr>
      <xdr:spPr>
        <a:xfrm>
          <a:off x="11206" y="4616823"/>
          <a:ext cx="11819371" cy="1776976"/>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1. Scripts para administración de bases de datos: </a:t>
          </a:r>
          <a:r>
            <a:rPr lang="es-MX" sz="1100" b="0"/>
            <a:t>Asegúrate de incluir la instrucción "USE" en los scripts que entregues al equipo de administración de bases de datos. Esto ayuda a especificar la base de datos en la que se deben aplicar los cambios correctamente.</a:t>
          </a:r>
        </a:p>
        <a:p>
          <a:r>
            <a:rPr lang="es-MX" sz="1100" b="1"/>
            <a:t>2. Plazos para solicitudes de cambios: </a:t>
          </a:r>
          <a:r>
            <a:rPr lang="es-MX" sz="1100" b="0"/>
            <a:t>Por favor, ten en cuenta que no se aceptarán solicitudes de cambios dos días antes del día 15 de cada mes ni en el cierre de mes. Esto nos permite garantizar la estabilidad y seguridad de los sistemas durante períodos críticos.</a:t>
          </a:r>
        </a:p>
        <a:p>
          <a:r>
            <a:rPr lang="es-MX" sz="1100" b="1"/>
            <a:t>3. Validación de RFCs: </a:t>
          </a:r>
          <a:r>
            <a:rPr lang="es-MX" sz="1100" b="0"/>
            <a:t>Todos los RFCs (Request for Change) deben ser validados previamente por el comité correspondiente antes de su implementación. Esto asegura que se haya evaluado adecuadamente el impacto y los riesgos asociados con el cambio propuesto.</a:t>
          </a:r>
        </a:p>
        <a:p>
          <a:r>
            <a:rPr lang="es-MX" sz="1100" b="1"/>
            <a:t>4. Cumplimiento con el documento establecido</a:t>
          </a:r>
          <a:r>
            <a:rPr lang="es-MX" sz="1100" b="0"/>
            <a:t>:</a:t>
          </a:r>
          <a:r>
            <a:rPr lang="es-MX" sz="1100" b="0" baseline="0"/>
            <a:t> </a:t>
          </a:r>
          <a:r>
            <a:rPr lang="es-MX" sz="1100" b="0"/>
            <a:t>Es importante que cualquier script, servicio o paso adicional esté alineado con el documento establecido. Si algún elemento no está contemplado en el documento, no se tomará en cuenta y se procederá al rollback del cambio.</a:t>
          </a:r>
        </a:p>
        <a:p>
          <a:r>
            <a:rPr lang="es-MX" sz="1100" b="1"/>
            <a:t>5. Numeración y organización de scripts: </a:t>
          </a:r>
          <a:r>
            <a:rPr lang="es-MX" sz="1100" b="0"/>
            <a:t>Los scripts deben estar numerados en el orden en que deben ser aplicados. Si hay más de 10 scripts, asegúrate de organizarlos en una carpeta para facilitar su gestión y seguimiento. Esto garantiza una implementación ordenada y sin errores.</a:t>
          </a:r>
        </a:p>
      </xdr:txBody>
    </xdr:sp>
    <xdr:clientData/>
  </xdr:twoCellAnchor>
  <xdr:twoCellAnchor>
    <xdr:from>
      <xdr:col>18</xdr:col>
      <xdr:colOff>147332</xdr:colOff>
      <xdr:row>8</xdr:row>
      <xdr:rowOff>84897</xdr:rowOff>
    </xdr:from>
    <xdr:to>
      <xdr:col>23</xdr:col>
      <xdr:colOff>155949</xdr:colOff>
      <xdr:row>11</xdr:row>
      <xdr:rowOff>86473</xdr:rowOff>
    </xdr:to>
    <xdr:sp macro="" textlink="">
      <xdr:nvSpPr>
        <xdr:cNvPr id="5" name="CuadroTexto 4">
          <a:extLst>
            <a:ext uri="{FF2B5EF4-FFF2-40B4-BE49-F238E27FC236}">
              <a16:creationId xmlns:a16="http://schemas.microsoft.com/office/drawing/2014/main" id="{6BDD674F-0AFF-440D-AA53-7C267E226FDF}"/>
            </a:ext>
          </a:extLst>
        </xdr:cNvPr>
        <xdr:cNvSpPr txBox="1"/>
      </xdr:nvSpPr>
      <xdr:spPr>
        <a:xfrm>
          <a:off x="16530332" y="1541662"/>
          <a:ext cx="3818617" cy="539458"/>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Nota: Esta sección será completada por el ejecutor del Delivery Manager</a:t>
          </a:r>
          <a:r>
            <a:rPr lang="es-MX" sz="1100" b="1" baseline="0"/>
            <a:t>.</a:t>
          </a:r>
          <a:endParaRPr lang="es-MX" sz="1100" b="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11206</xdr:colOff>
      <xdr:row>5</xdr:row>
      <xdr:rowOff>178252</xdr:rowOff>
    </xdr:to>
    <xdr:sp macro="" textlink="">
      <xdr:nvSpPr>
        <xdr:cNvPr id="2" name="Rectángulo 1">
          <a:extLst>
            <a:ext uri="{FF2B5EF4-FFF2-40B4-BE49-F238E27FC236}">
              <a16:creationId xmlns:a16="http://schemas.microsoft.com/office/drawing/2014/main" id="{AF3107DC-63B7-4733-91B8-130825841925}"/>
            </a:ext>
          </a:extLst>
        </xdr:cNvPr>
        <xdr:cNvSpPr/>
      </xdr:nvSpPr>
      <xdr:spPr>
        <a:xfrm>
          <a:off x="0" y="0"/>
          <a:ext cx="16651941" cy="1074723"/>
        </a:xfrm>
        <a:prstGeom prst="rect">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449580" algn="ctr">
            <a:lnSpc>
              <a:spcPct val="107000"/>
            </a:lnSpc>
            <a:spcAft>
              <a:spcPts val="800"/>
            </a:spcAft>
          </a:pPr>
          <a:r>
            <a:rPr lang="es-MX" sz="2400" b="1">
              <a:effectLst/>
              <a:ea typeface="Calibri" panose="020F0502020204030204" pitchFamily="34" charset="0"/>
              <a:cs typeface="Times New Roman" panose="02020603050405020304" pitchFamily="18" charset="0"/>
            </a:rPr>
            <a:t>REQUEST FOR CHANGE - ROLLBACK </a:t>
          </a:r>
        </a:p>
      </xdr:txBody>
    </xdr:sp>
    <xdr:clientData/>
  </xdr:twoCellAnchor>
  <xdr:twoCellAnchor editAs="oneCell">
    <xdr:from>
      <xdr:col>0</xdr:col>
      <xdr:colOff>417284</xdr:colOff>
      <xdr:row>1</xdr:row>
      <xdr:rowOff>117928</xdr:rowOff>
    </xdr:from>
    <xdr:to>
      <xdr:col>1</xdr:col>
      <xdr:colOff>209856</xdr:colOff>
      <xdr:row>4</xdr:row>
      <xdr:rowOff>22769</xdr:rowOff>
    </xdr:to>
    <xdr:pic>
      <xdr:nvPicPr>
        <xdr:cNvPr id="3" name="Imagen 2" descr="Imagen que contiene dibujo&#10;&#10;Descripción generada automáticamente">
          <a:extLst>
            <a:ext uri="{FF2B5EF4-FFF2-40B4-BE49-F238E27FC236}">
              <a16:creationId xmlns:a16="http://schemas.microsoft.com/office/drawing/2014/main" id="{4D6A97CF-4C84-47D2-9925-CB6604B403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7284" y="302078"/>
          <a:ext cx="1922997" cy="461736"/>
        </a:xfrm>
        <a:prstGeom prst="rect">
          <a:avLst/>
        </a:prstGeom>
      </xdr:spPr>
    </xdr:pic>
    <xdr:clientData/>
  </xdr:twoCellAnchor>
  <xdr:twoCellAnchor>
    <xdr:from>
      <xdr:col>0</xdr:col>
      <xdr:colOff>1</xdr:colOff>
      <xdr:row>37</xdr:row>
      <xdr:rowOff>74707</xdr:rowOff>
    </xdr:from>
    <xdr:to>
      <xdr:col>12</xdr:col>
      <xdr:colOff>1150471</xdr:colOff>
      <xdr:row>47</xdr:row>
      <xdr:rowOff>41304</xdr:rowOff>
    </xdr:to>
    <xdr:sp macro="" textlink="">
      <xdr:nvSpPr>
        <xdr:cNvPr id="5" name="CuadroTexto 4">
          <a:extLst>
            <a:ext uri="{FF2B5EF4-FFF2-40B4-BE49-F238E27FC236}">
              <a16:creationId xmlns:a16="http://schemas.microsoft.com/office/drawing/2014/main" id="{7B4B9A6A-1F7C-4FA9-BB5E-C864E874F5AC}"/>
            </a:ext>
          </a:extLst>
        </xdr:cNvPr>
        <xdr:cNvSpPr txBox="1"/>
      </xdr:nvSpPr>
      <xdr:spPr>
        <a:xfrm>
          <a:off x="1" y="9502589"/>
          <a:ext cx="11915588" cy="1834244"/>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1. Scripts para administración de bases de datos: </a:t>
          </a:r>
          <a:r>
            <a:rPr lang="es-MX" sz="1100" b="0"/>
            <a:t>Asegúrate de incluir la instrucción "USE" en los scripts que entregues al equipo de administración de bases de datos. Esto ayuda a especificar la base de datos en la que se deben aplicar los cambios correctamente.</a:t>
          </a:r>
        </a:p>
        <a:p>
          <a:r>
            <a:rPr lang="es-MX" sz="1100" b="1"/>
            <a:t>2. Plazos para solicitudes de cambios: </a:t>
          </a:r>
          <a:r>
            <a:rPr lang="es-MX" sz="1100" b="0"/>
            <a:t>Por favor, ten en cuenta que no se aceptarán solicitudes de cambios dos días antes del día 15 de cada mes ni en el cierre de mes. Esto nos permite garantizar la estabilidad y seguridad de los sistemas durante períodos críticos.</a:t>
          </a:r>
        </a:p>
        <a:p>
          <a:r>
            <a:rPr lang="es-MX" sz="1100" b="1"/>
            <a:t>3. Validación de RFCs: </a:t>
          </a:r>
          <a:r>
            <a:rPr lang="es-MX" sz="1100" b="0"/>
            <a:t>Todos los RFCs (Request for Change) deben ser validados previamente por el comité correspondiente antes de su implementación. Esto asegura que se haya evaluado adecuadamente el impacto y los riesgos asociados con el cambio propuesto.</a:t>
          </a:r>
        </a:p>
        <a:p>
          <a:r>
            <a:rPr lang="es-MX" sz="1100" b="1"/>
            <a:t>4. Cumplimiento con el documento establecido</a:t>
          </a:r>
          <a:r>
            <a:rPr lang="es-MX" sz="1100" b="0"/>
            <a:t>:</a:t>
          </a:r>
          <a:r>
            <a:rPr lang="es-MX" sz="1100" b="0" baseline="0"/>
            <a:t> </a:t>
          </a:r>
          <a:r>
            <a:rPr lang="es-MX" sz="1100" b="0"/>
            <a:t>Es importante que cualquier script, servicio o paso adicional esté alineado con el documento establecido. Si algún elemento no está contemplado en el documento, no se tomará en cuenta y se procederá al rollback del cambio.</a:t>
          </a:r>
        </a:p>
        <a:p>
          <a:r>
            <a:rPr lang="es-MX" sz="1100" b="1"/>
            <a:t>5. Numeración y organización de scripts: </a:t>
          </a:r>
          <a:r>
            <a:rPr lang="es-MX" sz="1100" b="0"/>
            <a:t>Los scripts deben estar numerados en el orden en que deben ser aplicados. Si hay más de 10 scripts, asegúrate de organizarlos en una carpeta para facilitar su gestión y seguimiento. Esto garantiza una implementación ordenada y sin errores.</a:t>
          </a:r>
        </a:p>
      </xdr:txBody>
    </xdr:sp>
    <xdr:clientData/>
  </xdr:twoCellAnchor>
  <xdr:twoCellAnchor>
    <xdr:from>
      <xdr:col>14</xdr:col>
      <xdr:colOff>1655</xdr:colOff>
      <xdr:row>23</xdr:row>
      <xdr:rowOff>112059</xdr:rowOff>
    </xdr:from>
    <xdr:to>
      <xdr:col>19</xdr:col>
      <xdr:colOff>7097</xdr:colOff>
      <xdr:row>27</xdr:row>
      <xdr:rowOff>145677</xdr:rowOff>
    </xdr:to>
    <xdr:sp macro="" textlink="">
      <xdr:nvSpPr>
        <xdr:cNvPr id="4" name="CuadroTexto 3">
          <a:extLst>
            <a:ext uri="{FF2B5EF4-FFF2-40B4-BE49-F238E27FC236}">
              <a16:creationId xmlns:a16="http://schemas.microsoft.com/office/drawing/2014/main" id="{FE8F416B-8942-44D9-AE8D-CACDB6031B07}"/>
            </a:ext>
          </a:extLst>
        </xdr:cNvPr>
        <xdr:cNvSpPr txBox="1"/>
      </xdr:nvSpPr>
      <xdr:spPr>
        <a:xfrm>
          <a:off x="12832390" y="4034118"/>
          <a:ext cx="3815442" cy="672353"/>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100" b="1"/>
            <a:t>Nota: </a:t>
          </a:r>
        </a:p>
        <a:p>
          <a:r>
            <a:rPr lang="es-MX" sz="1100" b="1"/>
            <a:t>Esta sección será completada por el ejecutor de Delivery Manager</a:t>
          </a:r>
          <a:r>
            <a:rPr lang="es-MX" sz="1100" b="1" baseline="0"/>
            <a:t>.</a:t>
          </a:r>
          <a:endParaRPr lang="es-MX" sz="1100" b="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https://github.com/MacropayTD/midd-pf-score-telcel" TargetMode="External"/><Relationship Id="rId18" Type="http://schemas.openxmlformats.org/officeDocument/2006/relationships/hyperlink" Target="https://github.com/MacropayTD/front-finacing-mf-biometrics-incode" TargetMode="External"/><Relationship Id="rId26" Type="http://schemas.openxmlformats.org/officeDocument/2006/relationships/hyperlink" Target="https://midd-pf-qa3.macropay.mx/" TargetMode="External"/><Relationship Id="rId39" Type="http://schemas.openxmlformats.org/officeDocument/2006/relationships/hyperlink" Target="https://lapibelvoimss-qa3.macropay.mx/" TargetMode="External"/><Relationship Id="rId21" Type="http://schemas.openxmlformats.org/officeDocument/2006/relationships/hyperlink" Target="https://amiddoriginaciondaleqa3.macropay.mx/" TargetMode="External"/><Relationship Id="rId34" Type="http://schemas.openxmlformats.org/officeDocument/2006/relationships/hyperlink" Target="https://midd-pf-qa3.macropay.mx/" TargetMode="External"/><Relationship Id="rId42" Type="http://schemas.openxmlformats.org/officeDocument/2006/relationships/hyperlink" Target="http://mpfcloud-pf.macropay.mx/" TargetMode="External"/><Relationship Id="rId47" Type="http://schemas.openxmlformats.org/officeDocument/2006/relationships/hyperlink" Target="https://github.com/MacropayTD/midd-originacion-transacciones-proveedor" TargetMode="External"/><Relationship Id="rId50" Type="http://schemas.openxmlformats.org/officeDocument/2006/relationships/printerSettings" Target="../printerSettings/printerSettings4.bin"/><Relationship Id="rId7" Type="http://schemas.openxmlformats.org/officeDocument/2006/relationships/hyperlink" Target="https://midd-pf-qa3.macropay.mx/" TargetMode="External"/><Relationship Id="rId2" Type="http://schemas.openxmlformats.org/officeDocument/2006/relationships/hyperlink" Target="https://github.com/MacropayTD/midd-originacion-transacciones-proveedor" TargetMode="External"/><Relationship Id="rId16" Type="http://schemas.openxmlformats.org/officeDocument/2006/relationships/hyperlink" Target="https://mm-uniqueappsync-id-prod.macropay.mx/" TargetMode="External"/><Relationship Id="rId29" Type="http://schemas.openxmlformats.org/officeDocument/2006/relationships/hyperlink" Target="https://midd-pf-id-prod.macropay.mx/" TargetMode="External"/><Relationship Id="rId11" Type="http://schemas.openxmlformats.org/officeDocument/2006/relationships/hyperlink" Target="https://github.com/MacropayTD/back-api-belvo-imms" TargetMode="External"/><Relationship Id="rId24" Type="http://schemas.openxmlformats.org/officeDocument/2006/relationships/hyperlink" Target="https://midd-pf-qa3.macropay.mx/" TargetMode="External"/><Relationship Id="rId32" Type="http://schemas.openxmlformats.org/officeDocument/2006/relationships/hyperlink" Target="https://midd-pf-qa3.macropay.mx/" TargetMode="External"/><Relationship Id="rId37" Type="http://schemas.openxmlformats.org/officeDocument/2006/relationships/hyperlink" Target="https://midd-pf-qa3.macropay.mx/" TargetMode="External"/><Relationship Id="rId40" Type="http://schemas.openxmlformats.org/officeDocument/2006/relationships/hyperlink" Target="https://github.com/MacropayTD/front-pf-biometrics" TargetMode="External"/><Relationship Id="rId45" Type="http://schemas.openxmlformats.org/officeDocument/2006/relationships/hyperlink" Target="https://mm-uniqueappsync-qa-3.macropay.mx/" TargetMode="External"/><Relationship Id="rId5" Type="http://schemas.openxmlformats.org/officeDocument/2006/relationships/hyperlink" Target="https://amiddoriginaciondale-qa3.macropay.mx/" TargetMode="External"/><Relationship Id="rId15" Type="http://schemas.openxmlformats.org/officeDocument/2006/relationships/hyperlink" Target="https://github.com/MacropayTD/Midd-camus-biometrics" TargetMode="External"/><Relationship Id="rId23" Type="http://schemas.openxmlformats.org/officeDocument/2006/relationships/hyperlink" Target="https://github.com/MacropayTD/midd-pf-terms" TargetMode="External"/><Relationship Id="rId28" Type="http://schemas.openxmlformats.org/officeDocument/2006/relationships/hyperlink" Target="https://midd-pf-qa3.macropay.mx/" TargetMode="External"/><Relationship Id="rId36" Type="http://schemas.openxmlformats.org/officeDocument/2006/relationships/hyperlink" Target="https://midd-pf-id-prod.macropay.mx/" TargetMode="External"/><Relationship Id="rId49" Type="http://schemas.openxmlformats.org/officeDocument/2006/relationships/hyperlink" Target="https://github.com/MacropayTD/midd-originacion-transacciones-macropay" TargetMode="External"/><Relationship Id="rId10" Type="http://schemas.openxmlformats.org/officeDocument/2006/relationships/hyperlink" Target="https://github.com/MacropayTD/midd-pf-personal-data" TargetMode="External"/><Relationship Id="rId19" Type="http://schemas.openxmlformats.org/officeDocument/2006/relationships/hyperlink" Target="https://github.com/MacropayTD/front-pf-biometrics" TargetMode="External"/><Relationship Id="rId31" Type="http://schemas.openxmlformats.org/officeDocument/2006/relationships/hyperlink" Target="https://midd-pf-id-prod.macropay.mx/" TargetMode="External"/><Relationship Id="rId44" Type="http://schemas.openxmlformats.org/officeDocument/2006/relationships/hyperlink" Target="https://github.com/MacropayTD/back-api-belvo-imms" TargetMode="External"/><Relationship Id="rId4" Type="http://schemas.openxmlformats.org/officeDocument/2006/relationships/hyperlink" Target="https://github.com/MacropayTD/midd-pf-biometric" TargetMode="External"/><Relationship Id="rId9" Type="http://schemas.openxmlformats.org/officeDocument/2006/relationships/hyperlink" Target="https://amiddtransaccionesdaleqa3.macropay.mx/" TargetMode="External"/><Relationship Id="rId14" Type="http://schemas.openxmlformats.org/officeDocument/2006/relationships/hyperlink" Target="https://github.com/MacropayTD/midd-pf-score" TargetMode="External"/><Relationship Id="rId22" Type="http://schemas.openxmlformats.org/officeDocument/2006/relationships/hyperlink" Target="https://amiddoriginaciondaleqa3.macropay.mx/" TargetMode="External"/><Relationship Id="rId27" Type="http://schemas.openxmlformats.org/officeDocument/2006/relationships/hyperlink" Target="https://midd-pf-id-prod.macropay.mx/" TargetMode="External"/><Relationship Id="rId30" Type="http://schemas.openxmlformats.org/officeDocument/2006/relationships/hyperlink" Target="https://midd-pf-qa3.macropay.mx/" TargetMode="External"/><Relationship Id="rId35" Type="http://schemas.openxmlformats.org/officeDocument/2006/relationships/hyperlink" Target="http://mpfcloud-pf.macropay.mx/" TargetMode="External"/><Relationship Id="rId43" Type="http://schemas.openxmlformats.org/officeDocument/2006/relationships/hyperlink" Target="http://qa3-financing2.macropay.mx/" TargetMode="External"/><Relationship Id="rId48" Type="http://schemas.openxmlformats.org/officeDocument/2006/relationships/hyperlink" Target="https://github.com/MacropayTD/midd-originacion-transacciones-proveedor-token" TargetMode="External"/><Relationship Id="rId8" Type="http://schemas.openxmlformats.org/officeDocument/2006/relationships/hyperlink" Target="https://github.com/MacropayTD/midd-originacion-transacciones-macropay" TargetMode="External"/><Relationship Id="rId51" Type="http://schemas.openxmlformats.org/officeDocument/2006/relationships/drawing" Target="../drawings/drawing4.xml"/><Relationship Id="rId3" Type="http://schemas.openxmlformats.org/officeDocument/2006/relationships/hyperlink" Target="https://github.com/MacropayTD/midd-originacion-transacciones-proveedor-token" TargetMode="External"/><Relationship Id="rId12" Type="http://schemas.openxmlformats.org/officeDocument/2006/relationships/hyperlink" Target="https://lapibelvoimss-qa3.macropay.mx/" TargetMode="External"/><Relationship Id="rId17" Type="http://schemas.openxmlformats.org/officeDocument/2006/relationships/hyperlink" Target="https://github.com/MacropayTD/midd-pf-clienteIncode" TargetMode="External"/><Relationship Id="rId25" Type="http://schemas.openxmlformats.org/officeDocument/2006/relationships/hyperlink" Target="https://midd-pf-qa3.macropay.mx/" TargetMode="External"/><Relationship Id="rId33" Type="http://schemas.openxmlformats.org/officeDocument/2006/relationships/hyperlink" Target="https://midd-pf-id-prod.macropay.mx/" TargetMode="External"/><Relationship Id="rId38" Type="http://schemas.openxmlformats.org/officeDocument/2006/relationships/hyperlink" Target="https://amiddtransaccionesdaleqa3.macropay.mx/" TargetMode="External"/><Relationship Id="rId46" Type="http://schemas.openxmlformats.org/officeDocument/2006/relationships/hyperlink" Target="https://github.com/MacropayTD/Midd-camus-biometrics" TargetMode="External"/><Relationship Id="rId20" Type="http://schemas.openxmlformats.org/officeDocument/2006/relationships/hyperlink" Target="https://github.com/MacropayTD/back-api-sage-maker" TargetMode="External"/><Relationship Id="rId41" Type="http://schemas.openxmlformats.org/officeDocument/2006/relationships/hyperlink" Target="http://qa3-financing2.macropay.mx/" TargetMode="External"/><Relationship Id="rId1" Type="http://schemas.openxmlformats.org/officeDocument/2006/relationships/hyperlink" Target="https://github.com/MacropayTD/midd-pf-terms" TargetMode="External"/><Relationship Id="rId6" Type="http://schemas.openxmlformats.org/officeDocument/2006/relationships/hyperlink" Target="https://amiddoriginaciondale-qa3.macropay.m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D41F-BEB2-4650-889B-6BC1C7BA2D83}">
  <dimension ref="A8:N42"/>
  <sheetViews>
    <sheetView showGridLines="0" zoomScale="85" zoomScaleNormal="85" zoomScalePageLayoutView="85" workbookViewId="0">
      <selection activeCell="C13" sqref="C13:D13"/>
    </sheetView>
  </sheetViews>
  <sheetFormatPr defaultColWidth="10.85546875" defaultRowHeight="15"/>
  <cols>
    <col min="1" max="1" width="23.42578125" style="22" customWidth="1"/>
    <col min="2" max="2" width="32.42578125" style="22" customWidth="1"/>
    <col min="3" max="3" width="10.85546875" style="22"/>
    <col min="4" max="4" width="28.42578125" style="22" customWidth="1"/>
    <col min="5" max="5" width="5.42578125" style="22" customWidth="1"/>
    <col min="6" max="6" width="21.140625" style="22" customWidth="1"/>
    <col min="7" max="7" width="14.42578125" style="22" customWidth="1"/>
    <col min="8" max="8" width="10.42578125" style="22" customWidth="1"/>
    <col min="9" max="9" width="9.42578125" style="22" customWidth="1"/>
    <col min="10" max="10" width="6.42578125" style="22" customWidth="1"/>
    <col min="11" max="11" width="14.42578125" style="22" customWidth="1"/>
    <col min="12" max="12" width="17" style="22" customWidth="1"/>
    <col min="13" max="13" width="10.42578125" style="37" customWidth="1"/>
    <col min="14" max="14" width="10.85546875" style="37"/>
    <col min="15" max="16384" width="10.85546875" style="22"/>
  </cols>
  <sheetData>
    <row r="8" spans="1:12">
      <c r="A8" s="15" t="s">
        <v>0</v>
      </c>
      <c r="B8" s="201" t="s">
        <v>1</v>
      </c>
      <c r="C8" s="202"/>
      <c r="D8" s="203"/>
      <c r="E8" s="16"/>
      <c r="F8" s="17" t="s">
        <v>2</v>
      </c>
      <c r="G8" s="110" t="s">
        <v>3</v>
      </c>
      <c r="H8" s="110"/>
      <c r="I8" s="144" t="s">
        <v>4</v>
      </c>
      <c r="J8" s="145"/>
      <c r="K8" s="145"/>
      <c r="L8" s="146"/>
    </row>
    <row r="9" spans="1:12">
      <c r="A9" s="15" t="s">
        <v>5</v>
      </c>
      <c r="B9" s="201" t="s">
        <v>6</v>
      </c>
      <c r="C9" s="202"/>
      <c r="D9" s="203"/>
      <c r="E9" s="16"/>
      <c r="F9" s="17" t="s">
        <v>7</v>
      </c>
      <c r="G9" s="110" t="s">
        <v>8</v>
      </c>
      <c r="H9" s="110"/>
      <c r="I9" s="208" t="s">
        <v>9</v>
      </c>
      <c r="J9" s="208"/>
      <c r="K9" s="208"/>
      <c r="L9" s="208"/>
    </row>
    <row r="10" spans="1:12">
      <c r="A10" s="15" t="s">
        <v>10</v>
      </c>
      <c r="B10" s="201" t="s">
        <v>11</v>
      </c>
      <c r="C10" s="202"/>
      <c r="D10" s="203"/>
      <c r="E10" s="18"/>
      <c r="F10" s="17" t="s">
        <v>12</v>
      </c>
      <c r="G10" s="110" t="s">
        <v>13</v>
      </c>
      <c r="H10" s="110"/>
      <c r="I10" s="208"/>
      <c r="J10" s="208"/>
      <c r="K10" s="208"/>
      <c r="L10" s="208"/>
    </row>
    <row r="11" spans="1:12">
      <c r="A11" s="204" t="s">
        <v>14</v>
      </c>
      <c r="B11" s="19" t="s">
        <v>15</v>
      </c>
      <c r="C11" s="207" t="s">
        <v>16</v>
      </c>
      <c r="D11" s="207"/>
      <c r="E11" s="18"/>
      <c r="F11" s="17" t="s">
        <v>17</v>
      </c>
      <c r="G11" s="110" t="s">
        <v>18</v>
      </c>
      <c r="H11" s="110"/>
      <c r="I11" s="208"/>
      <c r="J11" s="208"/>
      <c r="K11" s="208"/>
      <c r="L11" s="208"/>
    </row>
    <row r="12" spans="1:12">
      <c r="A12" s="205"/>
      <c r="B12" s="19" t="s">
        <v>19</v>
      </c>
      <c r="C12" s="207" t="s">
        <v>16</v>
      </c>
      <c r="D12" s="207"/>
      <c r="E12" s="18"/>
      <c r="F12" s="20"/>
      <c r="G12" s="21"/>
      <c r="H12" s="21"/>
      <c r="I12" s="208"/>
      <c r="J12" s="208"/>
      <c r="K12" s="208"/>
      <c r="L12" s="208"/>
    </row>
    <row r="13" spans="1:12">
      <c r="A13" s="206"/>
      <c r="B13" s="19" t="s">
        <v>20</v>
      </c>
      <c r="C13" s="207" t="s">
        <v>21</v>
      </c>
      <c r="D13" s="207"/>
      <c r="E13" s="18"/>
      <c r="F13" s="20"/>
      <c r="G13" s="209"/>
      <c r="H13" s="209"/>
      <c r="I13" s="208"/>
      <c r="J13" s="208"/>
      <c r="K13" s="208"/>
      <c r="L13" s="208"/>
    </row>
    <row r="14" spans="1:12">
      <c r="A14" s="15" t="s">
        <v>22</v>
      </c>
      <c r="B14" s="110" t="s">
        <v>23</v>
      </c>
      <c r="C14" s="110"/>
      <c r="D14" s="110"/>
      <c r="E14" s="18"/>
      <c r="F14" s="20"/>
      <c r="G14" s="21"/>
      <c r="H14" s="21"/>
      <c r="I14" s="21"/>
      <c r="J14" s="21"/>
      <c r="K14" s="21"/>
      <c r="L14" s="21"/>
    </row>
    <row r="16" spans="1:12" ht="15.75">
      <c r="A16" s="118" t="s">
        <v>24</v>
      </c>
      <c r="B16" s="119"/>
      <c r="C16" s="119"/>
      <c r="D16" s="119"/>
      <c r="E16" s="119"/>
      <c r="F16" s="119"/>
      <c r="G16" s="119"/>
      <c r="H16" s="119"/>
      <c r="I16" s="119"/>
      <c r="J16" s="119"/>
      <c r="K16" s="119"/>
      <c r="L16" s="119"/>
    </row>
    <row r="17" spans="1:14" ht="10.35" customHeight="1"/>
    <row r="18" spans="1:14" ht="10.35" customHeight="1"/>
    <row r="19" spans="1:14" ht="10.35" customHeight="1"/>
    <row r="20" spans="1:14" ht="10.35" customHeight="1"/>
    <row r="21" spans="1:14" ht="10.35" customHeight="1"/>
    <row r="22" spans="1:14" ht="10.35" customHeight="1"/>
    <row r="23" spans="1:14" ht="10.35" customHeight="1"/>
    <row r="24" spans="1:14" ht="10.35" customHeight="1"/>
    <row r="25" spans="1:14" ht="10.35" customHeight="1" thickBot="1"/>
    <row r="26" spans="1:14" ht="16.350000000000001" customHeight="1" thickBot="1">
      <c r="A26" s="198" t="s">
        <v>25</v>
      </c>
      <c r="B26" s="199"/>
      <c r="C26" s="199"/>
      <c r="D26" s="200"/>
      <c r="E26" s="53"/>
      <c r="F26" s="193" t="s">
        <v>26</v>
      </c>
      <c r="G26" s="194"/>
      <c r="H26" s="195"/>
      <c r="I26" s="53"/>
      <c r="J26" s="188" t="s">
        <v>27</v>
      </c>
      <c r="K26" s="189"/>
      <c r="L26" s="190"/>
      <c r="M26" s="22"/>
      <c r="N26" s="22"/>
    </row>
    <row r="27" spans="1:14" ht="16.350000000000001" customHeight="1">
      <c r="A27" s="55" t="s">
        <v>28</v>
      </c>
      <c r="B27" s="196" t="s">
        <v>29</v>
      </c>
      <c r="C27" s="196"/>
      <c r="D27" s="197"/>
      <c r="F27" s="61" t="s">
        <v>30</v>
      </c>
      <c r="G27" s="178" t="str">
        <f>INT(G32/60) &amp; " H, " &amp; (G32 - INT(G32/60) * 60) &amp; " M"</f>
        <v>0 H, 0 M</v>
      </c>
      <c r="H27" s="179"/>
      <c r="I27" s="54"/>
      <c r="J27" s="182" t="s">
        <v>30</v>
      </c>
      <c r="K27" s="183"/>
      <c r="L27" s="59" t="str">
        <f>INT(M32/60) &amp; " H, " &amp; (M32 - INT(M32/60) * 60) &amp; " M"</f>
        <v>0 H, 0 M</v>
      </c>
      <c r="M27" s="22"/>
      <c r="N27" s="22"/>
    </row>
    <row r="28" spans="1:14" ht="16.350000000000001" customHeight="1">
      <c r="A28" s="56" t="s">
        <v>31</v>
      </c>
      <c r="B28" s="191" t="s">
        <v>32</v>
      </c>
      <c r="C28" s="191"/>
      <c r="D28" s="192"/>
      <c r="F28" s="62" t="s">
        <v>33</v>
      </c>
      <c r="G28" s="178" t="str">
        <f t="shared" ref="G28:G30" si="0">INT(G33/60) &amp; " H, " &amp; (G33 - INT(G33/60) * 60) &amp; " M"</f>
        <v>0 H, 0 M</v>
      </c>
      <c r="H28" s="179"/>
      <c r="I28" s="54"/>
      <c r="J28" s="184" t="s">
        <v>33</v>
      </c>
      <c r="K28" s="185"/>
      <c r="L28" s="59" t="str">
        <f t="shared" ref="L28:L29" si="1">INT(M33/60) &amp; " H, " &amp; (M33 - INT(M33/60) * 60) &amp; " M"</f>
        <v>0 H, 0 M</v>
      </c>
      <c r="M28" s="22"/>
      <c r="N28" s="22"/>
    </row>
    <row r="29" spans="1:14" ht="16.350000000000001" customHeight="1" thickBot="1">
      <c r="A29" s="57" t="s">
        <v>34</v>
      </c>
      <c r="B29" s="176" t="s">
        <v>35</v>
      </c>
      <c r="C29" s="176"/>
      <c r="D29" s="177"/>
      <c r="F29" s="62" t="s">
        <v>36</v>
      </c>
      <c r="G29" s="178" t="str">
        <f t="shared" si="0"/>
        <v>0 H, 0 M</v>
      </c>
      <c r="H29" s="179"/>
      <c r="I29" s="54"/>
      <c r="J29" s="184" t="s">
        <v>37</v>
      </c>
      <c r="K29" s="185"/>
      <c r="L29" s="59" t="str">
        <f t="shared" si="1"/>
        <v>0 H, 0 M</v>
      </c>
      <c r="N29" s="22"/>
    </row>
    <row r="30" spans="1:14" ht="16.350000000000001" customHeight="1" thickBot="1">
      <c r="F30" s="63" t="s">
        <v>38</v>
      </c>
      <c r="G30" s="180" t="str">
        <f t="shared" si="0"/>
        <v>0 H, 0 M</v>
      </c>
      <c r="H30" s="181"/>
      <c r="I30" s="54"/>
      <c r="J30" s="186"/>
      <c r="K30" s="187"/>
      <c r="L30" s="60"/>
      <c r="N30" s="22"/>
    </row>
    <row r="32" spans="1:14" ht="16.350000000000001" hidden="1" customHeight="1">
      <c r="F32" s="54" t="s">
        <v>30</v>
      </c>
      <c r="G32" s="22">
        <f>SUM(RFC!L32:L35)</f>
        <v>0</v>
      </c>
      <c r="J32" s="175" t="s">
        <v>30</v>
      </c>
      <c r="K32" s="175"/>
      <c r="L32" s="58">
        <v>0.25</v>
      </c>
      <c r="M32" s="22">
        <f>G32*(1+L32)</f>
        <v>0</v>
      </c>
    </row>
    <row r="33" spans="6:13" ht="16.350000000000001" hidden="1" customHeight="1">
      <c r="F33" s="54" t="s">
        <v>33</v>
      </c>
      <c r="G33" s="22">
        <f>SUM(RFC!L88:L224)</f>
        <v>0</v>
      </c>
      <c r="J33" s="175" t="s">
        <v>33</v>
      </c>
      <c r="K33" s="175"/>
      <c r="L33" s="58">
        <v>0.25</v>
      </c>
      <c r="M33" s="22">
        <f t="shared" ref="M33:M35" si="2">G33*(1+L33)</f>
        <v>0</v>
      </c>
    </row>
    <row r="34" spans="6:13" ht="16.350000000000001" hidden="1" customHeight="1">
      <c r="F34" s="54" t="s">
        <v>37</v>
      </c>
      <c r="G34" s="22">
        <f>SUM(VALIDACIÓN!J17:J42)</f>
        <v>0</v>
      </c>
      <c r="J34" s="175" t="s">
        <v>37</v>
      </c>
      <c r="K34" s="175"/>
      <c r="L34" s="58">
        <v>0.5</v>
      </c>
      <c r="M34" s="22">
        <f t="shared" si="2"/>
        <v>0</v>
      </c>
    </row>
    <row r="35" spans="6:13" hidden="1">
      <c r="F35" s="54" t="s">
        <v>38</v>
      </c>
      <c r="G35" s="22">
        <f>SUM(ROLLBACK!K31:K183)</f>
        <v>0</v>
      </c>
      <c r="J35" s="175" t="s">
        <v>38</v>
      </c>
      <c r="K35" s="175"/>
      <c r="L35" s="58">
        <v>0.5</v>
      </c>
      <c r="M35" s="22">
        <f t="shared" si="2"/>
        <v>0</v>
      </c>
    </row>
    <row r="36" spans="6:13" ht="16.350000000000001" customHeight="1"/>
    <row r="37" spans="6:13" ht="16.350000000000001" customHeight="1"/>
    <row r="38" spans="6:13" ht="16.350000000000001" customHeight="1"/>
    <row r="39" spans="6:13" ht="14.85" customHeight="1"/>
    <row r="40" spans="6:13" ht="14.85" customHeight="1"/>
    <row r="41" spans="6:13" ht="14.85" customHeight="1"/>
    <row r="42" spans="6:13" ht="8.1" customHeight="1"/>
  </sheetData>
  <sheetProtection algorithmName="SHA-512" hashValue="OPAvoD3UFCRMScEjSpcufwvZnRs/x00QYAJkSyFaeKx+8S8/K6H5F6GK1kGzfDnkG2Y7OLtx3hw0po+rKKtM2w==" saltValue="h9XyiXUcZ53tzKckOJjhMw==" spinCount="100000" sheet="1" formatCells="0" formatColumns="0" formatRows="0" insertColumns="0" insertRows="0" insertHyperlinks="0" deleteColumns="0" deleteRows="0" selectLockedCells="1" sort="0" autoFilter="0" pivotTables="0"/>
  <mergeCells count="34">
    <mergeCell ref="B14:D14"/>
    <mergeCell ref="G9:H9"/>
    <mergeCell ref="I9:L13"/>
    <mergeCell ref="G13:H13"/>
    <mergeCell ref="A16:L16"/>
    <mergeCell ref="G10:H10"/>
    <mergeCell ref="C11:D11"/>
    <mergeCell ref="G11:H11"/>
    <mergeCell ref="C12:D12"/>
    <mergeCell ref="B9:D9"/>
    <mergeCell ref="I8:L8"/>
    <mergeCell ref="B8:D8"/>
    <mergeCell ref="B10:D10"/>
    <mergeCell ref="A11:A13"/>
    <mergeCell ref="C13:D13"/>
    <mergeCell ref="G8:H8"/>
    <mergeCell ref="B28:D28"/>
    <mergeCell ref="F26:H26"/>
    <mergeCell ref="B27:D27"/>
    <mergeCell ref="A26:D26"/>
    <mergeCell ref="G27:H27"/>
    <mergeCell ref="G28:H28"/>
    <mergeCell ref="J27:K27"/>
    <mergeCell ref="J28:K28"/>
    <mergeCell ref="J29:K29"/>
    <mergeCell ref="J30:K30"/>
    <mergeCell ref="J26:L26"/>
    <mergeCell ref="J32:K32"/>
    <mergeCell ref="J33:K33"/>
    <mergeCell ref="J34:K34"/>
    <mergeCell ref="J35:K35"/>
    <mergeCell ref="B29:D29"/>
    <mergeCell ref="G29:H29"/>
    <mergeCell ref="G30:H30"/>
  </mergeCells>
  <dataValidations count="8">
    <dataValidation type="list" allowBlank="1" showInputMessage="1" showErrorMessage="1" sqref="G11:H11 G13:H14" xr:uid="{F582450F-FA6B-465D-985D-76F28F1D561E}">
      <formula1>"Selecciona,Si,No"</formula1>
    </dataValidation>
    <dataValidation type="list" allowBlank="1" showInputMessage="1" showErrorMessage="1" sqref="G10:H10 G12:H12" xr:uid="{4E47B598-247E-45E6-8E6E-D1283246DC83}">
      <formula1>"Selecciona,Alto,Medio,Bajo"</formula1>
    </dataValidation>
    <dataValidation type="list" allowBlank="1" showInputMessage="1" showErrorMessage="1" sqref="G8:H8" xr:uid="{28780E47-21DB-4689-ACF9-E494FB4A7D00}">
      <formula1>"Selecciona,Normal,Estandar,Emergente"</formula1>
    </dataValidation>
    <dataValidation type="list" allowBlank="1" showInputMessage="1" showErrorMessage="1" sqref="B14:D14" xr:uid="{A753E275-DC08-4009-A77B-172A2DE2FF3C}">
      <formula1>"Selecciona,PROD,QA1,QA2,QA3"</formula1>
    </dataValidation>
    <dataValidation type="list" allowBlank="1" showInputMessage="1" showErrorMessage="1" sqref="G9:H9" xr:uid="{257382D5-9934-4207-91A1-9809344D1604}">
      <formula1>"Selecciona,Alta,Media,Baja"</formula1>
    </dataValidation>
    <dataValidation type="list" allowBlank="1" showInputMessage="1" showErrorMessage="1" sqref="B27" xr:uid="{0253E1BF-66DB-4AC7-9072-E6D39D2168B0}">
      <formula1>"Seleccionar, Durante el día operativo, Cierre de las sucursales"</formula1>
    </dataValidation>
    <dataValidation type="list" allowBlank="1" showInputMessage="1" showErrorMessage="1" sqref="B28" xr:uid="{70C0E990-57F8-4183-8522-20260BD351B6}">
      <formula1>"Seleccionar, Desarrollo de software, Infraestructura, Ambos (desarrollo de software e infraestructura)."</formula1>
    </dataValidation>
    <dataValidation type="list" allowBlank="1" showInputMessage="1" showErrorMessage="1" sqref="B29" xr:uid="{D6F2AD15-053E-4767-914C-B3B49BB0DD28}">
      <formula1>"Seleccionar, Sí se requiren pruebas,No se consideran pruebas."</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F507C-2687-4833-8D41-B7A103F38CD9}">
  <dimension ref="A7:U90"/>
  <sheetViews>
    <sheetView showGridLines="0" topLeftCell="A77" zoomScaleNormal="100" zoomScalePageLayoutView="85" workbookViewId="0">
      <selection activeCell="B80" sqref="B80:G80"/>
    </sheetView>
  </sheetViews>
  <sheetFormatPr defaultColWidth="10.85546875" defaultRowHeight="15" customHeight="1"/>
  <cols>
    <col min="1" max="1" width="32" style="22" customWidth="1"/>
    <col min="2" max="3" width="20.42578125" style="22" customWidth="1"/>
    <col min="4" max="4" width="10.85546875" style="22"/>
    <col min="5" max="5" width="14.42578125" style="22" customWidth="1"/>
    <col min="6" max="6" width="13" style="22" customWidth="1"/>
    <col min="7" max="7" width="39.140625" style="22" customWidth="1"/>
    <col min="8" max="8" width="11.42578125" style="22" customWidth="1"/>
    <col min="9" max="9" width="38" style="22" customWidth="1"/>
    <col min="10" max="10" width="19.85546875" style="22" customWidth="1"/>
    <col min="11" max="11" width="16" style="22" customWidth="1"/>
    <col min="12" max="12" width="14.42578125" style="22" customWidth="1"/>
    <col min="13" max="14" width="10.85546875" style="22" customWidth="1"/>
    <col min="15" max="15" width="23.42578125" style="22" customWidth="1"/>
    <col min="16" max="16384" width="10.85546875" style="22"/>
  </cols>
  <sheetData>
    <row r="7" spans="1:21" ht="15.75" thickBot="1"/>
    <row r="8" spans="1:21" ht="23.1" customHeight="1" thickBot="1">
      <c r="A8" s="39" t="str">
        <f>EV.RIESGO!A8</f>
        <v>ID del proyecto:</v>
      </c>
      <c r="B8" s="149" t="str">
        <f>EV.RIESGO!B8</f>
        <v>ris001-pe26</v>
      </c>
      <c r="C8" s="150"/>
      <c r="D8" s="150"/>
      <c r="E8" s="151"/>
      <c r="F8" s="40"/>
      <c r="G8" s="41" t="str">
        <f>EV.RIESGO!F8</f>
        <v>Tipo de Cambio:</v>
      </c>
      <c r="H8" s="131" t="str">
        <f>EV.RIESGO!G8</f>
        <v>Normal</v>
      </c>
      <c r="I8" s="131"/>
      <c r="J8" s="38" t="s">
        <v>39</v>
      </c>
      <c r="K8" s="122" t="str">
        <f>EV.RIESGO!I8</f>
        <v>Comentarios adicionales.</v>
      </c>
      <c r="L8" s="123"/>
      <c r="M8" s="123"/>
      <c r="N8" s="123"/>
      <c r="O8" s="124"/>
      <c r="Q8" s="132" t="s">
        <v>40</v>
      </c>
      <c r="R8" s="133"/>
      <c r="S8" s="133"/>
      <c r="T8" s="133"/>
      <c r="U8" s="134"/>
    </row>
    <row r="9" spans="1:21" ht="23.1" customHeight="1">
      <c r="A9" s="39" t="str">
        <f>EV.RIESGO!A9</f>
        <v>Nombre del proyecto</v>
      </c>
      <c r="B9" s="149" t="str">
        <f>EV.RIESGO!B9</f>
        <v>Dale Onboarding Innovador</v>
      </c>
      <c r="C9" s="150"/>
      <c r="D9" s="150"/>
      <c r="E9" s="151"/>
      <c r="F9" s="40"/>
      <c r="G9" s="41" t="str">
        <f>EV.RIESGO!F9</f>
        <v>Prioridad:</v>
      </c>
      <c r="H9" s="131" t="str">
        <f>EV.RIESGO!G9</f>
        <v>Media</v>
      </c>
      <c r="I9" s="131"/>
      <c r="J9" s="38"/>
      <c r="K9" s="110" t="s">
        <v>41</v>
      </c>
      <c r="L9" s="110"/>
      <c r="M9" s="110"/>
      <c r="N9" s="110"/>
      <c r="O9" s="110"/>
      <c r="Q9" s="135">
        <v>0.48</v>
      </c>
      <c r="R9" s="136"/>
      <c r="S9" s="136"/>
      <c r="T9" s="136"/>
      <c r="U9" s="137"/>
    </row>
    <row r="10" spans="1:21" ht="23.1" customHeight="1">
      <c r="A10" s="39" t="str">
        <f>EV.RIESGO!A10</f>
        <v>Plataformas impactadas:</v>
      </c>
      <c r="B10" s="149" t="str">
        <f>EV.RIESGO!B10</f>
        <v xml:space="preserve"> Plataforma Dale y componentes PF</v>
      </c>
      <c r="C10" s="150"/>
      <c r="D10" s="150"/>
      <c r="E10" s="151"/>
      <c r="F10" s="42"/>
      <c r="G10" s="41" t="str">
        <f>EV.RIESGO!F10</f>
        <v>Riesgo:</v>
      </c>
      <c r="H10" s="131" t="str">
        <f>EV.RIESGO!G10</f>
        <v>Medio</v>
      </c>
      <c r="I10" s="131"/>
      <c r="J10" s="38"/>
      <c r="K10" s="110"/>
      <c r="L10" s="110"/>
      <c r="M10" s="110"/>
      <c r="N10" s="110"/>
      <c r="O10" s="110"/>
      <c r="Q10" s="138"/>
      <c r="R10" s="139"/>
      <c r="S10" s="139"/>
      <c r="T10" s="139"/>
      <c r="U10" s="140"/>
    </row>
    <row r="11" spans="1:21" ht="23.1" customHeight="1">
      <c r="A11" s="152" t="str">
        <f>EV.RIESGO!A11</f>
        <v>Líder del Cambio:</v>
      </c>
      <c r="B11" s="43" t="str">
        <f>EV.RIESGO!B11</f>
        <v>Arquitecto</v>
      </c>
      <c r="C11" s="43"/>
      <c r="D11" s="155" t="str">
        <f>EV.RIESGO!C11</f>
        <v>N/A</v>
      </c>
      <c r="E11" s="155"/>
      <c r="F11" s="42"/>
      <c r="G11" s="41" t="str">
        <f>EV.RIESGO!F11</f>
        <v>Afecta la operación:</v>
      </c>
      <c r="H11" s="131" t="str">
        <f>EV.RIESGO!G11</f>
        <v>No</v>
      </c>
      <c r="I11" s="131"/>
      <c r="J11" s="38"/>
      <c r="K11" s="110"/>
      <c r="L11" s="110"/>
      <c r="M11" s="110"/>
      <c r="N11" s="110"/>
      <c r="O11" s="110"/>
      <c r="Q11" s="138"/>
      <c r="R11" s="139"/>
      <c r="S11" s="139"/>
      <c r="T11" s="139"/>
      <c r="U11" s="140"/>
    </row>
    <row r="12" spans="1:21" ht="23.1" customHeight="1">
      <c r="A12" s="153"/>
      <c r="B12" s="43" t="str">
        <f>EV.RIESGO!B12</f>
        <v>Project Manager</v>
      </c>
      <c r="C12" s="43"/>
      <c r="D12" s="155" t="str">
        <f>EV.RIESGO!C12</f>
        <v>N/A</v>
      </c>
      <c r="E12" s="155"/>
      <c r="F12" s="42"/>
      <c r="G12" s="44"/>
      <c r="H12" s="45"/>
      <c r="I12" s="45"/>
      <c r="J12" s="21"/>
      <c r="K12" s="110"/>
      <c r="L12" s="110"/>
      <c r="M12" s="110"/>
      <c r="N12" s="110"/>
      <c r="O12" s="110"/>
      <c r="Q12" s="138"/>
      <c r="R12" s="139"/>
      <c r="S12" s="139"/>
      <c r="T12" s="139"/>
      <c r="U12" s="140"/>
    </row>
    <row r="13" spans="1:21" ht="23.1" customHeight="1" thickBot="1">
      <c r="A13" s="154"/>
      <c r="B13" s="43" t="str">
        <f>EV.RIESGO!B13</f>
        <v>Líder Técnico Dev</v>
      </c>
      <c r="C13" s="43"/>
      <c r="D13" s="155" t="str">
        <f>EV.RIESGO!C13</f>
        <v>GESTION DE AMBIENTES</v>
      </c>
      <c r="E13" s="155"/>
      <c r="F13" s="42"/>
      <c r="G13" s="44"/>
      <c r="H13" s="158"/>
      <c r="I13" s="158"/>
      <c r="J13" s="21"/>
      <c r="K13" s="110"/>
      <c r="L13" s="110"/>
      <c r="M13" s="110"/>
      <c r="N13" s="110"/>
      <c r="O13" s="110"/>
      <c r="Q13" s="141"/>
      <c r="R13" s="142"/>
      <c r="S13" s="142"/>
      <c r="T13" s="142"/>
      <c r="U13" s="143"/>
    </row>
    <row r="14" spans="1:21" ht="23.1" customHeight="1">
      <c r="A14" s="39" t="str">
        <f>EV.RIESGO!A14</f>
        <v>Ambiente:</v>
      </c>
      <c r="B14" s="131" t="str">
        <f>EV.RIESGO!B14</f>
        <v>QA3</v>
      </c>
      <c r="C14" s="131"/>
      <c r="D14" s="131"/>
      <c r="E14" s="131"/>
      <c r="F14" s="42"/>
      <c r="G14" s="44"/>
      <c r="H14" s="45"/>
      <c r="I14" s="45"/>
      <c r="J14" s="21"/>
      <c r="K14" s="21"/>
      <c r="L14" s="21"/>
      <c r="M14" s="21"/>
      <c r="N14" s="21"/>
      <c r="O14" s="21"/>
      <c r="Q14" s="23"/>
      <c r="R14" s="23"/>
      <c r="S14" s="23"/>
      <c r="T14" s="23"/>
      <c r="U14" s="23"/>
    </row>
    <row r="15" spans="1:21">
      <c r="A15" s="37"/>
      <c r="B15" s="37"/>
      <c r="C15" s="37"/>
      <c r="D15" s="37"/>
      <c r="E15" s="37"/>
      <c r="F15" s="37"/>
      <c r="G15" s="37"/>
      <c r="H15" s="37"/>
      <c r="I15" s="37"/>
    </row>
    <row r="16" spans="1:21" ht="15.75">
      <c r="A16" s="118" t="s">
        <v>42</v>
      </c>
      <c r="B16" s="119"/>
      <c r="C16" s="119"/>
      <c r="D16" s="119"/>
      <c r="E16" s="119"/>
      <c r="F16" s="119"/>
      <c r="G16" s="119"/>
      <c r="H16" s="119"/>
      <c r="I16" s="119"/>
      <c r="J16" s="119"/>
      <c r="K16" s="119"/>
      <c r="L16" s="119"/>
      <c r="M16" s="119"/>
      <c r="N16" s="119"/>
      <c r="O16" s="119"/>
    </row>
    <row r="17" spans="1:21" ht="8.1" customHeight="1"/>
    <row r="18" spans="1:21">
      <c r="B18" s="157" t="s">
        <v>43</v>
      </c>
      <c r="C18" s="157"/>
      <c r="D18" s="157"/>
      <c r="E18" s="157"/>
      <c r="F18" s="67" t="s">
        <v>44</v>
      </c>
      <c r="G18" s="156" t="s">
        <v>45</v>
      </c>
      <c r="H18" s="156"/>
      <c r="I18" s="156" t="s">
        <v>46</v>
      </c>
      <c r="J18" s="156"/>
      <c r="K18" s="156"/>
    </row>
    <row r="19" spans="1:21" hidden="1">
      <c r="B19" s="159" t="s">
        <v>47</v>
      </c>
      <c r="C19" s="159"/>
      <c r="D19" s="159"/>
      <c r="E19" s="160"/>
      <c r="F19" s="67" t="s">
        <v>47</v>
      </c>
      <c r="G19" s="69"/>
      <c r="H19" s="70"/>
      <c r="I19" s="69"/>
      <c r="J19" s="71"/>
      <c r="K19" s="70"/>
    </row>
    <row r="20" spans="1:21" ht="29.1" customHeight="1">
      <c r="B20" s="336" t="s">
        <v>48</v>
      </c>
      <c r="C20" s="336"/>
      <c r="D20" s="336"/>
      <c r="E20" s="336"/>
      <c r="F20" s="68" t="s">
        <v>49</v>
      </c>
      <c r="G20" s="127"/>
      <c r="H20" s="129"/>
      <c r="I20" s="127"/>
      <c r="J20" s="128"/>
      <c r="K20" s="129"/>
    </row>
    <row r="21" spans="1:21" ht="29.1" customHeight="1">
      <c r="B21" s="336" t="s">
        <v>50</v>
      </c>
      <c r="C21" s="336"/>
      <c r="D21" s="336"/>
      <c r="E21" s="336"/>
      <c r="F21" s="68" t="s">
        <v>51</v>
      </c>
      <c r="G21" s="120"/>
      <c r="H21" s="129"/>
      <c r="I21" s="127"/>
      <c r="J21" s="128"/>
      <c r="K21" s="129"/>
    </row>
    <row r="22" spans="1:21" ht="29.1" customHeight="1">
      <c r="B22" s="336" t="s">
        <v>52</v>
      </c>
      <c r="C22" s="336"/>
      <c r="D22" s="336"/>
      <c r="E22" s="336"/>
      <c r="F22" s="68" t="s">
        <v>53</v>
      </c>
      <c r="G22" s="127"/>
      <c r="H22" s="129"/>
      <c r="I22" s="127"/>
      <c r="J22" s="128"/>
      <c r="K22" s="129"/>
    </row>
    <row r="23" spans="1:21" ht="29.1" customHeight="1">
      <c r="B23" s="336" t="s">
        <v>54</v>
      </c>
      <c r="C23" s="336"/>
      <c r="D23" s="336"/>
      <c r="E23" s="336"/>
      <c r="F23" s="68" t="s">
        <v>55</v>
      </c>
      <c r="G23" s="127"/>
      <c r="H23" s="129"/>
      <c r="I23" s="127"/>
      <c r="J23" s="128"/>
      <c r="K23" s="129"/>
    </row>
    <row r="24" spans="1:21" ht="29.1" customHeight="1">
      <c r="B24" s="336" t="s">
        <v>56</v>
      </c>
      <c r="C24" s="336"/>
      <c r="D24" s="336"/>
      <c r="E24" s="336"/>
      <c r="F24" s="68" t="s">
        <v>56</v>
      </c>
      <c r="G24" s="127"/>
      <c r="H24" s="129"/>
      <c r="I24" s="127"/>
      <c r="J24" s="128"/>
      <c r="K24" s="129"/>
    </row>
    <row r="25" spans="1:21" ht="29.1" customHeight="1">
      <c r="B25" s="336" t="s">
        <v>57</v>
      </c>
      <c r="C25" s="336"/>
      <c r="D25" s="336"/>
      <c r="E25" s="336"/>
      <c r="F25" s="68" t="s">
        <v>58</v>
      </c>
      <c r="G25" s="127"/>
      <c r="H25" s="129"/>
      <c r="I25" s="127"/>
      <c r="J25" s="128"/>
      <c r="K25" s="129"/>
    </row>
    <row r="26" spans="1:21" ht="29.1" customHeight="1">
      <c r="B26" s="336" t="s">
        <v>59</v>
      </c>
      <c r="C26" s="336"/>
      <c r="D26" s="336"/>
      <c r="E26" s="336"/>
      <c r="F26" s="68" t="s">
        <v>60</v>
      </c>
      <c r="G26" s="127"/>
      <c r="H26" s="129"/>
      <c r="I26" s="127"/>
      <c r="J26" s="128"/>
      <c r="K26" s="129"/>
    </row>
    <row r="27" spans="1:21" ht="29.1" customHeight="1">
      <c r="B27" s="336" t="s">
        <v>61</v>
      </c>
      <c r="C27" s="336"/>
      <c r="D27" s="336"/>
      <c r="E27" s="336"/>
      <c r="F27" s="68" t="s">
        <v>62</v>
      </c>
      <c r="G27" s="127"/>
      <c r="H27" s="129"/>
      <c r="I27" s="127"/>
      <c r="J27" s="128"/>
      <c r="K27" s="129"/>
    </row>
    <row r="28" spans="1:21" ht="8.1" customHeight="1"/>
    <row r="29" spans="1:21" ht="15.75">
      <c r="A29" s="118" t="s">
        <v>63</v>
      </c>
      <c r="B29" s="119"/>
      <c r="C29" s="119"/>
      <c r="D29" s="119"/>
      <c r="E29" s="119"/>
      <c r="F29" s="119"/>
      <c r="G29" s="119"/>
      <c r="H29" s="119"/>
      <c r="I29" s="119"/>
      <c r="J29" s="119"/>
      <c r="K29" s="119"/>
      <c r="L29" s="119"/>
      <c r="M29" s="119"/>
      <c r="N29" s="119"/>
      <c r="O29" s="119"/>
    </row>
    <row r="30" spans="1:21" ht="8.1" customHeight="1"/>
    <row r="31" spans="1:21" s="21" customFormat="1" ht="24" customHeight="1">
      <c r="A31" s="25" t="s">
        <v>64</v>
      </c>
      <c r="B31" s="125" t="s">
        <v>65</v>
      </c>
      <c r="C31" s="130"/>
      <c r="D31" s="130"/>
      <c r="E31" s="130"/>
      <c r="F31" s="130"/>
      <c r="G31" s="126"/>
      <c r="H31" s="125" t="s">
        <v>66</v>
      </c>
      <c r="I31" s="126"/>
      <c r="J31" s="26" t="s">
        <v>67</v>
      </c>
      <c r="K31" s="25" t="s">
        <v>44</v>
      </c>
      <c r="L31" s="27" t="s">
        <v>68</v>
      </c>
      <c r="M31" s="25" t="s">
        <v>69</v>
      </c>
      <c r="N31" s="125" t="s">
        <v>70</v>
      </c>
      <c r="O31" s="130"/>
      <c r="Q31" s="144" t="s">
        <v>71</v>
      </c>
      <c r="R31" s="145"/>
      <c r="S31" s="145"/>
      <c r="T31" s="145"/>
      <c r="U31" s="146"/>
    </row>
    <row r="32" spans="1:21" ht="71.099999999999994" hidden="1" customHeight="1">
      <c r="A32" s="74"/>
      <c r="B32" s="337" t="s">
        <v>72</v>
      </c>
      <c r="C32" s="147"/>
      <c r="D32" s="148"/>
      <c r="E32" s="148"/>
      <c r="F32" s="148"/>
      <c r="G32" s="148"/>
      <c r="H32" s="110"/>
      <c r="I32" s="110"/>
      <c r="J32" s="72"/>
      <c r="K32" s="73"/>
      <c r="L32" s="24"/>
      <c r="M32" s="24"/>
      <c r="N32" s="127"/>
      <c r="O32" s="129"/>
      <c r="Q32" s="99" t="s">
        <v>73</v>
      </c>
      <c r="R32" s="100"/>
      <c r="S32" s="100"/>
      <c r="T32" s="100"/>
      <c r="U32" s="101"/>
    </row>
    <row r="33" spans="1:21" ht="0.6" customHeight="1">
      <c r="A33" s="74"/>
      <c r="B33"/>
      <c r="C33" s="84"/>
      <c r="D33" s="85"/>
      <c r="E33" s="85"/>
      <c r="F33" s="85"/>
      <c r="G33" s="86"/>
      <c r="H33" s="97"/>
      <c r="I33" s="83"/>
      <c r="J33" s="72"/>
      <c r="K33" s="73"/>
      <c r="L33" s="24"/>
      <c r="M33" s="24"/>
      <c r="N33" s="87"/>
      <c r="O33" s="88"/>
      <c r="Q33" s="78"/>
      <c r="R33" s="79"/>
      <c r="S33" s="79"/>
      <c r="T33" s="79"/>
      <c r="U33" s="80"/>
    </row>
    <row r="34" spans="1:21" ht="25.9" customHeight="1">
      <c r="A34" s="74"/>
      <c r="B34"/>
      <c r="C34" s="84"/>
      <c r="D34" s="85"/>
      <c r="E34" s="85"/>
      <c r="F34" s="85"/>
      <c r="G34" s="86"/>
      <c r="H34" s="97"/>
      <c r="I34" s="83"/>
      <c r="J34" s="72"/>
      <c r="K34" s="73"/>
      <c r="L34" s="24"/>
      <c r="M34" s="24"/>
      <c r="N34" s="87"/>
      <c r="O34" s="88"/>
      <c r="Q34" s="78"/>
      <c r="R34" s="79"/>
      <c r="S34" s="79"/>
      <c r="T34" s="79"/>
      <c r="U34" s="80"/>
    </row>
    <row r="35" spans="1:21" s="28" customFormat="1" ht="259.5" customHeight="1">
      <c r="A35" s="74">
        <v>1</v>
      </c>
      <c r="B35" s="111" t="s">
        <v>74</v>
      </c>
      <c r="C35" s="112"/>
      <c r="D35" s="113"/>
      <c r="E35" s="113"/>
      <c r="F35" s="113"/>
      <c r="G35" s="109"/>
      <c r="H35" s="108" t="s">
        <v>75</v>
      </c>
      <c r="I35" s="109"/>
      <c r="J35" s="77"/>
      <c r="K35" s="73" t="s">
        <v>49</v>
      </c>
      <c r="L35" s="24"/>
      <c r="M35" s="24"/>
      <c r="N35" s="102"/>
      <c r="O35" s="102"/>
      <c r="P35" s="22"/>
      <c r="Q35" s="99" t="s">
        <v>76</v>
      </c>
      <c r="R35" s="100"/>
      <c r="S35" s="100"/>
      <c r="T35" s="100"/>
      <c r="U35" s="101"/>
    </row>
    <row r="36" spans="1:21" ht="94.5" customHeight="1">
      <c r="A36" s="98">
        <v>2</v>
      </c>
      <c r="B36" s="111" t="s">
        <v>77</v>
      </c>
      <c r="C36" s="112"/>
      <c r="D36" s="112"/>
      <c r="E36" s="112"/>
      <c r="F36" s="112"/>
      <c r="G36" s="117"/>
      <c r="H36" s="108" t="s">
        <v>75</v>
      </c>
      <c r="I36" s="109"/>
      <c r="J36" s="77" t="s">
        <v>78</v>
      </c>
      <c r="K36" s="73" t="s">
        <v>49</v>
      </c>
      <c r="L36" s="24"/>
      <c r="M36" s="24"/>
      <c r="N36" s="120"/>
      <c r="O36" s="121"/>
      <c r="Q36" s="99" t="s">
        <v>76</v>
      </c>
      <c r="R36" s="100"/>
      <c r="S36" s="100"/>
      <c r="T36" s="100"/>
      <c r="U36" s="101"/>
    </row>
    <row r="37" spans="1:21" ht="78" customHeight="1">
      <c r="A37" s="98">
        <v>3</v>
      </c>
      <c r="B37" s="103" t="s">
        <v>79</v>
      </c>
      <c r="C37" s="104"/>
      <c r="D37" s="104"/>
      <c r="E37" s="104"/>
      <c r="F37" s="104"/>
      <c r="G37" s="107"/>
      <c r="H37" s="108" t="s">
        <v>80</v>
      </c>
      <c r="I37" s="109"/>
      <c r="J37" s="77" t="s">
        <v>78</v>
      </c>
      <c r="K37" s="73" t="s">
        <v>56</v>
      </c>
      <c r="L37" s="24"/>
      <c r="M37" s="24"/>
      <c r="N37" s="81"/>
      <c r="O37" s="82"/>
      <c r="Q37" s="99" t="s">
        <v>76</v>
      </c>
      <c r="R37" s="100"/>
      <c r="S37" s="100"/>
      <c r="T37" s="100"/>
      <c r="U37" s="101"/>
    </row>
    <row r="38" spans="1:21" ht="78" customHeight="1">
      <c r="A38" s="98">
        <v>4</v>
      </c>
      <c r="B38" s="103" t="s">
        <v>81</v>
      </c>
      <c r="C38" s="104"/>
      <c r="D38" s="104"/>
      <c r="E38" s="104"/>
      <c r="F38" s="104"/>
      <c r="G38" s="107"/>
      <c r="H38" s="108" t="s">
        <v>80</v>
      </c>
      <c r="I38" s="109"/>
      <c r="J38" s="77" t="s">
        <v>78</v>
      </c>
      <c r="K38" s="73" t="s">
        <v>56</v>
      </c>
      <c r="L38" s="24"/>
      <c r="M38" s="24"/>
      <c r="N38" s="81"/>
      <c r="O38" s="82"/>
      <c r="Q38" s="99" t="s">
        <v>76</v>
      </c>
      <c r="R38" s="100"/>
      <c r="S38" s="100"/>
      <c r="T38" s="100"/>
      <c r="U38" s="101"/>
    </row>
    <row r="39" spans="1:21" ht="78" customHeight="1">
      <c r="A39" s="98">
        <v>5</v>
      </c>
      <c r="B39" s="103" t="s">
        <v>82</v>
      </c>
      <c r="C39" s="104"/>
      <c r="D39" s="104"/>
      <c r="E39" s="104"/>
      <c r="F39" s="104"/>
      <c r="G39" s="107"/>
      <c r="H39" s="108" t="s">
        <v>80</v>
      </c>
      <c r="I39" s="109"/>
      <c r="J39" s="77" t="s">
        <v>78</v>
      </c>
      <c r="K39" s="73" t="s">
        <v>56</v>
      </c>
      <c r="L39" s="24"/>
      <c r="M39" s="24"/>
      <c r="N39" s="81"/>
      <c r="O39" s="82"/>
      <c r="Q39" s="99" t="s">
        <v>76</v>
      </c>
      <c r="R39" s="100"/>
      <c r="S39" s="100"/>
      <c r="T39" s="100"/>
      <c r="U39" s="101"/>
    </row>
    <row r="40" spans="1:21" ht="75.599999999999994" customHeight="1">
      <c r="A40" s="98">
        <v>6</v>
      </c>
      <c r="B40" s="111" t="s">
        <v>83</v>
      </c>
      <c r="C40" s="112"/>
      <c r="D40" s="113"/>
      <c r="E40" s="113"/>
      <c r="F40" s="113"/>
      <c r="G40" s="109"/>
      <c r="H40" s="108" t="s">
        <v>75</v>
      </c>
      <c r="I40" s="109"/>
      <c r="J40" s="77" t="s">
        <v>78</v>
      </c>
      <c r="K40" s="73" t="s">
        <v>49</v>
      </c>
      <c r="L40" s="24"/>
      <c r="M40" s="24"/>
      <c r="N40" s="120"/>
      <c r="O40" s="121"/>
      <c r="Q40" s="99" t="s">
        <v>76</v>
      </c>
      <c r="R40" s="100"/>
      <c r="S40" s="100"/>
      <c r="T40" s="100"/>
      <c r="U40" s="101"/>
    </row>
    <row r="41" spans="1:21" ht="82.35" customHeight="1">
      <c r="A41" s="98">
        <v>7</v>
      </c>
      <c r="B41" s="103" t="s">
        <v>84</v>
      </c>
      <c r="C41" s="104"/>
      <c r="D41" s="105"/>
      <c r="E41" s="105"/>
      <c r="F41" s="105"/>
      <c r="G41" s="106"/>
      <c r="H41" s="108" t="s">
        <v>75</v>
      </c>
      <c r="I41" s="109"/>
      <c r="J41" s="77" t="s">
        <v>78</v>
      </c>
      <c r="K41" s="73" t="s">
        <v>49</v>
      </c>
      <c r="L41" s="24"/>
      <c r="M41" s="24"/>
      <c r="N41" s="81"/>
      <c r="O41" s="82"/>
      <c r="Q41" s="99" t="s">
        <v>76</v>
      </c>
      <c r="R41" s="100"/>
      <c r="S41" s="100"/>
      <c r="T41" s="100"/>
      <c r="U41" s="101"/>
    </row>
    <row r="42" spans="1:21" ht="44.45" customHeight="1">
      <c r="A42" s="98">
        <v>8</v>
      </c>
      <c r="B42" s="103" t="s">
        <v>85</v>
      </c>
      <c r="C42" s="104"/>
      <c r="D42" s="105"/>
      <c r="E42" s="105"/>
      <c r="F42" s="105"/>
      <c r="G42" s="106"/>
      <c r="H42" s="108" t="s">
        <v>80</v>
      </c>
      <c r="I42" s="109"/>
      <c r="J42" s="77" t="s">
        <v>78</v>
      </c>
      <c r="K42" s="73" t="s">
        <v>58</v>
      </c>
      <c r="L42" s="24"/>
      <c r="M42" s="24"/>
      <c r="N42" s="120"/>
      <c r="O42" s="121"/>
      <c r="Q42" s="99" t="s">
        <v>76</v>
      </c>
      <c r="R42" s="100"/>
      <c r="S42" s="100"/>
      <c r="T42" s="100"/>
      <c r="U42" s="101"/>
    </row>
    <row r="43" spans="1:21" ht="83.1" customHeight="1">
      <c r="A43" s="98">
        <v>9</v>
      </c>
      <c r="B43" s="103" t="s">
        <v>86</v>
      </c>
      <c r="C43" s="104"/>
      <c r="D43" s="105"/>
      <c r="E43" s="105"/>
      <c r="F43" s="105"/>
      <c r="G43" s="106"/>
      <c r="H43" s="108" t="s">
        <v>75</v>
      </c>
      <c r="I43" s="109"/>
      <c r="J43" s="77" t="s">
        <v>78</v>
      </c>
      <c r="K43" s="73" t="s">
        <v>49</v>
      </c>
      <c r="L43" s="24"/>
      <c r="M43" s="24"/>
      <c r="N43" s="81"/>
      <c r="O43" s="82"/>
      <c r="Q43" s="99" t="s">
        <v>76</v>
      </c>
      <c r="R43" s="100"/>
      <c r="S43" s="100"/>
      <c r="T43" s="100"/>
      <c r="U43" s="101"/>
    </row>
    <row r="44" spans="1:21" ht="44.45" customHeight="1">
      <c r="A44" s="98">
        <v>10</v>
      </c>
      <c r="B44" s="103" t="s">
        <v>87</v>
      </c>
      <c r="C44" s="104"/>
      <c r="D44" s="105"/>
      <c r="E44" s="105"/>
      <c r="F44" s="105"/>
      <c r="G44" s="106"/>
      <c r="H44" s="108" t="s">
        <v>80</v>
      </c>
      <c r="I44" s="109"/>
      <c r="J44" s="77" t="s">
        <v>78</v>
      </c>
      <c r="K44" s="73" t="s">
        <v>58</v>
      </c>
      <c r="L44" s="24"/>
      <c r="M44" s="24"/>
      <c r="N44" s="120"/>
      <c r="O44" s="121"/>
      <c r="Q44" s="99" t="s">
        <v>76</v>
      </c>
      <c r="R44" s="100"/>
      <c r="S44" s="100"/>
      <c r="T44" s="100"/>
      <c r="U44" s="101"/>
    </row>
    <row r="45" spans="1:21" ht="44.45" customHeight="1">
      <c r="A45" s="98">
        <v>11</v>
      </c>
      <c r="B45" s="337" t="s">
        <v>88</v>
      </c>
      <c r="C45" s="104"/>
      <c r="D45" s="105"/>
      <c r="E45" s="105"/>
      <c r="F45" s="105"/>
      <c r="G45" s="106"/>
      <c r="H45" s="108" t="s">
        <v>75</v>
      </c>
      <c r="I45" s="109"/>
      <c r="J45" s="77" t="s">
        <v>78</v>
      </c>
      <c r="K45" s="73" t="s">
        <v>49</v>
      </c>
      <c r="L45" s="24"/>
      <c r="M45" s="24"/>
      <c r="N45" s="81"/>
      <c r="O45" s="82"/>
      <c r="Q45" s="99" t="s">
        <v>76</v>
      </c>
      <c r="R45" s="100"/>
      <c r="S45" s="100"/>
      <c r="T45" s="100"/>
      <c r="U45" s="101"/>
    </row>
    <row r="46" spans="1:21" ht="44.45" customHeight="1">
      <c r="A46" s="98">
        <v>12</v>
      </c>
      <c r="B46" s="103" t="s">
        <v>89</v>
      </c>
      <c r="C46" s="104"/>
      <c r="D46" s="105"/>
      <c r="E46" s="105"/>
      <c r="F46" s="105"/>
      <c r="G46" s="106"/>
      <c r="H46" s="108" t="s">
        <v>80</v>
      </c>
      <c r="I46" s="109"/>
      <c r="J46" s="77" t="s">
        <v>78</v>
      </c>
      <c r="K46" s="73" t="s">
        <v>58</v>
      </c>
      <c r="L46" s="24"/>
      <c r="M46" s="24"/>
      <c r="N46" s="120"/>
      <c r="O46" s="121"/>
      <c r="Q46" s="99" t="s">
        <v>76</v>
      </c>
      <c r="R46" s="100"/>
      <c r="S46" s="100"/>
      <c r="T46" s="100"/>
      <c r="U46" s="101"/>
    </row>
    <row r="47" spans="1:21" ht="44.45" customHeight="1">
      <c r="A47" s="98">
        <v>13</v>
      </c>
      <c r="B47" s="103" t="s">
        <v>90</v>
      </c>
      <c r="C47" s="104"/>
      <c r="D47" s="104"/>
      <c r="E47" s="104"/>
      <c r="F47" s="104"/>
      <c r="G47" s="107"/>
      <c r="H47" s="108" t="s">
        <v>75</v>
      </c>
      <c r="I47" s="109"/>
      <c r="J47" s="77" t="s">
        <v>78</v>
      </c>
      <c r="K47" s="73" t="s">
        <v>49</v>
      </c>
      <c r="L47" s="24"/>
      <c r="M47" s="24"/>
      <c r="N47" s="81"/>
      <c r="O47" s="82"/>
      <c r="Q47" s="99" t="s">
        <v>76</v>
      </c>
      <c r="R47" s="100"/>
      <c r="S47" s="100"/>
      <c r="T47" s="100"/>
      <c r="U47" s="101"/>
    </row>
    <row r="48" spans="1:21" ht="44.45" customHeight="1">
      <c r="A48" s="98">
        <v>14</v>
      </c>
      <c r="B48" s="103" t="s">
        <v>91</v>
      </c>
      <c r="C48" s="104"/>
      <c r="D48" s="105"/>
      <c r="E48" s="105"/>
      <c r="F48" s="105"/>
      <c r="G48" s="106"/>
      <c r="H48" s="108" t="s">
        <v>80</v>
      </c>
      <c r="I48" s="109"/>
      <c r="J48" s="77" t="s">
        <v>78</v>
      </c>
      <c r="K48" s="73" t="s">
        <v>58</v>
      </c>
      <c r="L48" s="24"/>
      <c r="M48" s="24"/>
      <c r="N48" s="120"/>
      <c r="O48" s="121"/>
      <c r="Q48" s="99" t="s">
        <v>76</v>
      </c>
      <c r="R48" s="100"/>
      <c r="S48" s="100"/>
      <c r="T48" s="100"/>
      <c r="U48" s="101"/>
    </row>
    <row r="49" spans="1:21" ht="44.45" customHeight="1">
      <c r="A49" s="98">
        <v>15</v>
      </c>
      <c r="B49" s="103" t="s">
        <v>92</v>
      </c>
      <c r="C49" s="104"/>
      <c r="D49" s="104"/>
      <c r="E49" s="104"/>
      <c r="F49" s="104"/>
      <c r="G49" s="107"/>
      <c r="H49" s="108" t="s">
        <v>75</v>
      </c>
      <c r="I49" s="109"/>
      <c r="J49" s="77" t="s">
        <v>78</v>
      </c>
      <c r="K49" s="73" t="s">
        <v>49</v>
      </c>
      <c r="L49" s="24"/>
      <c r="M49" s="24"/>
      <c r="N49" s="81"/>
      <c r="O49" s="82"/>
      <c r="Q49" s="99" t="s">
        <v>76</v>
      </c>
      <c r="R49" s="100"/>
      <c r="S49" s="100"/>
      <c r="T49" s="100"/>
      <c r="U49" s="101"/>
    </row>
    <row r="50" spans="1:21" ht="44.45" customHeight="1">
      <c r="A50" s="98">
        <v>16</v>
      </c>
      <c r="B50" s="103" t="s">
        <v>93</v>
      </c>
      <c r="C50" s="104"/>
      <c r="D50" s="105"/>
      <c r="E50" s="105"/>
      <c r="F50" s="105"/>
      <c r="G50" s="106"/>
      <c r="H50" s="108" t="s">
        <v>80</v>
      </c>
      <c r="I50" s="109"/>
      <c r="J50" s="77" t="s">
        <v>78</v>
      </c>
      <c r="K50" s="73" t="s">
        <v>58</v>
      </c>
      <c r="L50" s="24"/>
      <c r="M50" s="24"/>
      <c r="N50" s="120"/>
      <c r="O50" s="121"/>
      <c r="Q50" s="99" t="s">
        <v>76</v>
      </c>
      <c r="R50" s="100"/>
      <c r="S50" s="100"/>
      <c r="T50" s="100"/>
      <c r="U50" s="101"/>
    </row>
    <row r="51" spans="1:21" ht="44.45" customHeight="1">
      <c r="A51" s="98">
        <v>17</v>
      </c>
      <c r="B51" s="103" t="s">
        <v>94</v>
      </c>
      <c r="C51" s="104"/>
      <c r="D51" s="104"/>
      <c r="E51" s="104"/>
      <c r="F51" s="104"/>
      <c r="G51" s="107"/>
      <c r="H51" s="108" t="s">
        <v>75</v>
      </c>
      <c r="I51" s="109"/>
      <c r="J51" s="77" t="s">
        <v>78</v>
      </c>
      <c r="K51" s="73" t="s">
        <v>49</v>
      </c>
      <c r="L51" s="24"/>
      <c r="M51" s="24"/>
      <c r="N51" s="81"/>
      <c r="O51" s="82"/>
      <c r="Q51" s="99" t="s">
        <v>76</v>
      </c>
      <c r="R51" s="100"/>
      <c r="S51" s="100"/>
      <c r="T51" s="100"/>
      <c r="U51" s="101"/>
    </row>
    <row r="52" spans="1:21" ht="44.45" customHeight="1">
      <c r="A52" s="74">
        <v>18</v>
      </c>
      <c r="B52" s="103" t="s">
        <v>95</v>
      </c>
      <c r="C52" s="104"/>
      <c r="D52" s="105"/>
      <c r="E52" s="105"/>
      <c r="F52" s="105"/>
      <c r="G52" s="106"/>
      <c r="H52" s="108" t="s">
        <v>80</v>
      </c>
      <c r="I52" s="109"/>
      <c r="J52" s="77" t="s">
        <v>78</v>
      </c>
      <c r="K52" s="73" t="s">
        <v>58</v>
      </c>
      <c r="L52" s="24"/>
      <c r="M52" s="24"/>
      <c r="N52" s="120"/>
      <c r="O52" s="121"/>
      <c r="Q52" s="99" t="s">
        <v>76</v>
      </c>
      <c r="R52" s="100"/>
      <c r="S52" s="100"/>
      <c r="T52" s="100"/>
      <c r="U52" s="101"/>
    </row>
    <row r="53" spans="1:21" ht="44.45" customHeight="1">
      <c r="A53" s="74">
        <v>19</v>
      </c>
      <c r="B53" s="167" t="s">
        <v>96</v>
      </c>
      <c r="C53" s="168"/>
      <c r="D53" s="169"/>
      <c r="E53" s="169"/>
      <c r="F53" s="169"/>
      <c r="G53" s="170"/>
      <c r="H53" s="110" t="s">
        <v>80</v>
      </c>
      <c r="I53" s="110"/>
      <c r="J53" s="77" t="s">
        <v>78</v>
      </c>
      <c r="K53" s="73" t="s">
        <v>60</v>
      </c>
      <c r="L53" s="24"/>
      <c r="M53" s="24"/>
      <c r="N53" s="81"/>
      <c r="O53" s="82"/>
      <c r="Q53" s="99" t="s">
        <v>76</v>
      </c>
      <c r="R53" s="100"/>
      <c r="S53" s="100"/>
      <c r="T53" s="100"/>
      <c r="U53" s="101"/>
    </row>
    <row r="54" spans="1:21" ht="44.45" customHeight="1">
      <c r="A54" s="74">
        <v>20</v>
      </c>
      <c r="B54" s="167" t="s">
        <v>97</v>
      </c>
      <c r="C54" s="168"/>
      <c r="D54" s="169"/>
      <c r="E54" s="169"/>
      <c r="F54" s="169"/>
      <c r="G54" s="170"/>
      <c r="H54" s="110" t="s">
        <v>80</v>
      </c>
      <c r="I54" s="110"/>
      <c r="J54" s="77" t="s">
        <v>78</v>
      </c>
      <c r="K54" s="73" t="s">
        <v>60</v>
      </c>
      <c r="L54" s="24"/>
      <c r="M54" s="24"/>
      <c r="N54" s="120"/>
      <c r="O54" s="121"/>
      <c r="Q54" s="99" t="s">
        <v>76</v>
      </c>
      <c r="R54" s="100"/>
      <c r="S54" s="100"/>
      <c r="T54" s="100"/>
      <c r="U54" s="101"/>
    </row>
    <row r="55" spans="1:21" ht="44.45" customHeight="1">
      <c r="A55" s="98">
        <v>21</v>
      </c>
      <c r="B55" s="167" t="s">
        <v>98</v>
      </c>
      <c r="C55" s="168"/>
      <c r="D55" s="169"/>
      <c r="E55" s="169"/>
      <c r="F55" s="169"/>
      <c r="G55" s="170"/>
      <c r="H55" s="110" t="s">
        <v>80</v>
      </c>
      <c r="I55" s="110"/>
      <c r="J55" s="77" t="s">
        <v>78</v>
      </c>
      <c r="K55" s="73" t="s">
        <v>56</v>
      </c>
      <c r="L55" s="24"/>
      <c r="M55" s="24"/>
      <c r="N55" s="81"/>
      <c r="O55" s="82"/>
      <c r="Q55" s="99" t="s">
        <v>76</v>
      </c>
      <c r="R55" s="100"/>
      <c r="S55" s="100"/>
      <c r="T55" s="100"/>
      <c r="U55" s="101"/>
    </row>
    <row r="56" spans="1:21" ht="81" customHeight="1">
      <c r="A56" s="98">
        <v>22</v>
      </c>
      <c r="B56" s="103" t="s">
        <v>99</v>
      </c>
      <c r="C56" s="104"/>
      <c r="D56" s="105"/>
      <c r="E56" s="105"/>
      <c r="F56" s="105"/>
      <c r="G56" s="106"/>
      <c r="H56" s="110" t="s">
        <v>80</v>
      </c>
      <c r="I56" s="110"/>
      <c r="J56" s="77" t="s">
        <v>78</v>
      </c>
      <c r="K56" s="73" t="s">
        <v>58</v>
      </c>
      <c r="L56" s="24"/>
      <c r="M56" s="24"/>
      <c r="N56" s="81"/>
      <c r="O56" s="82"/>
      <c r="Q56" s="99" t="s">
        <v>76</v>
      </c>
      <c r="R56" s="100"/>
      <c r="S56" s="100"/>
      <c r="T56" s="100"/>
      <c r="U56" s="101"/>
    </row>
    <row r="57" spans="1:21" ht="68.25" customHeight="1">
      <c r="A57" s="98">
        <v>23</v>
      </c>
      <c r="B57" s="167" t="s">
        <v>100</v>
      </c>
      <c r="C57" s="168"/>
      <c r="D57" s="169"/>
      <c r="E57" s="169"/>
      <c r="F57" s="169"/>
      <c r="G57" s="170"/>
      <c r="H57" s="110" t="s">
        <v>80</v>
      </c>
      <c r="I57" s="110"/>
      <c r="J57" s="77" t="s">
        <v>78</v>
      </c>
      <c r="K57" s="73" t="s">
        <v>56</v>
      </c>
      <c r="L57" s="24"/>
      <c r="M57" s="24"/>
      <c r="N57" s="81"/>
      <c r="O57" s="82"/>
      <c r="Q57" s="99" t="s">
        <v>76</v>
      </c>
      <c r="R57" s="100"/>
      <c r="S57" s="100"/>
      <c r="T57" s="100"/>
      <c r="U57" s="101"/>
    </row>
    <row r="58" spans="1:21" ht="68.25" customHeight="1">
      <c r="A58" s="98">
        <v>24</v>
      </c>
      <c r="B58" s="103" t="s">
        <v>101</v>
      </c>
      <c r="C58" s="104"/>
      <c r="D58" s="105"/>
      <c r="E58" s="105"/>
      <c r="F58" s="105"/>
      <c r="G58" s="106"/>
      <c r="H58" s="110" t="s">
        <v>80</v>
      </c>
      <c r="I58" s="110"/>
      <c r="J58" s="77" t="s">
        <v>78</v>
      </c>
      <c r="K58" s="73" t="s">
        <v>58</v>
      </c>
      <c r="L58" s="24"/>
      <c r="M58" s="24"/>
      <c r="N58" s="81"/>
      <c r="O58" s="82"/>
      <c r="Q58" s="99" t="s">
        <v>76</v>
      </c>
      <c r="R58" s="100"/>
      <c r="S58" s="100"/>
      <c r="T58" s="100"/>
      <c r="U58" s="101"/>
    </row>
    <row r="59" spans="1:21" ht="60.75" customHeight="1">
      <c r="A59" s="98">
        <v>25</v>
      </c>
      <c r="B59" s="167" t="s">
        <v>102</v>
      </c>
      <c r="C59" s="168"/>
      <c r="D59" s="169"/>
      <c r="E59" s="169"/>
      <c r="F59" s="169"/>
      <c r="G59" s="170"/>
      <c r="H59" s="110" t="s">
        <v>80</v>
      </c>
      <c r="I59" s="110"/>
      <c r="J59" s="77" t="s">
        <v>78</v>
      </c>
      <c r="K59" s="73" t="s">
        <v>56</v>
      </c>
      <c r="L59" s="24"/>
      <c r="M59" s="24"/>
      <c r="N59" s="81"/>
      <c r="O59" s="82"/>
      <c r="Q59" s="99" t="s">
        <v>76</v>
      </c>
      <c r="R59" s="100"/>
      <c r="S59" s="100"/>
      <c r="T59" s="100"/>
      <c r="U59" s="101"/>
    </row>
    <row r="60" spans="1:21" ht="81.75" customHeight="1">
      <c r="A60" s="98">
        <v>26</v>
      </c>
      <c r="B60" s="167" t="s">
        <v>103</v>
      </c>
      <c r="C60" s="168"/>
      <c r="D60" s="169"/>
      <c r="E60" s="169"/>
      <c r="F60" s="169"/>
      <c r="G60" s="170"/>
      <c r="H60" s="110" t="s">
        <v>80</v>
      </c>
      <c r="I60" s="110"/>
      <c r="J60" s="77" t="s">
        <v>78</v>
      </c>
      <c r="K60" s="73" t="s">
        <v>56</v>
      </c>
      <c r="L60" s="24"/>
      <c r="M60" s="24"/>
      <c r="N60" s="81"/>
      <c r="O60" s="82"/>
      <c r="Q60" s="99" t="s">
        <v>76</v>
      </c>
      <c r="R60" s="100"/>
      <c r="S60" s="100"/>
      <c r="T60" s="100"/>
      <c r="U60" s="101"/>
    </row>
    <row r="61" spans="1:21" ht="45.75" customHeight="1">
      <c r="A61" s="74"/>
      <c r="B61" s="167"/>
      <c r="C61" s="168"/>
      <c r="D61" s="169"/>
      <c r="E61" s="169"/>
      <c r="F61" s="169"/>
      <c r="G61" s="170"/>
      <c r="H61" s="110"/>
      <c r="I61" s="110"/>
      <c r="J61" s="77"/>
      <c r="K61" s="73"/>
      <c r="L61" s="24"/>
      <c r="M61" s="24"/>
      <c r="N61" s="120"/>
      <c r="O61" s="121"/>
      <c r="Q61" s="99" t="s">
        <v>76</v>
      </c>
      <c r="R61" s="100"/>
      <c r="S61" s="100"/>
      <c r="T61" s="100"/>
      <c r="U61" s="101"/>
    </row>
    <row r="62" spans="1:21" ht="15.6" customHeight="1">
      <c r="A62" s="118" t="s">
        <v>104</v>
      </c>
      <c r="B62" s="119"/>
      <c r="C62" s="119"/>
      <c r="D62" s="119"/>
      <c r="E62" s="119"/>
      <c r="F62" s="119"/>
      <c r="G62" s="119"/>
      <c r="H62" s="119"/>
      <c r="I62" s="119"/>
      <c r="J62" s="119"/>
      <c r="K62" s="119"/>
      <c r="L62" s="119"/>
      <c r="M62" s="119"/>
      <c r="N62" s="119"/>
      <c r="O62" s="119"/>
      <c r="Q62" s="174"/>
      <c r="R62" s="174"/>
      <c r="T62" s="174"/>
      <c r="U62" s="174"/>
    </row>
    <row r="63" spans="1:21" ht="9" customHeight="1">
      <c r="Q63" s="174"/>
      <c r="R63" s="174"/>
      <c r="T63" s="174"/>
      <c r="U63" s="174"/>
    </row>
    <row r="64" spans="1:21" s="28" customFormat="1" ht="30">
      <c r="A64" s="27" t="s">
        <v>64</v>
      </c>
      <c r="B64" s="164" t="s">
        <v>65</v>
      </c>
      <c r="C64" s="165"/>
      <c r="D64" s="165"/>
      <c r="E64" s="165"/>
      <c r="F64" s="165"/>
      <c r="G64" s="166"/>
      <c r="H64" s="164" t="s">
        <v>66</v>
      </c>
      <c r="I64" s="166"/>
      <c r="J64" s="26" t="s">
        <v>67</v>
      </c>
      <c r="K64" s="27" t="s">
        <v>44</v>
      </c>
      <c r="L64" s="27" t="s">
        <v>68</v>
      </c>
      <c r="M64" s="27" t="s">
        <v>69</v>
      </c>
      <c r="N64" s="125" t="s">
        <v>70</v>
      </c>
      <c r="O64" s="130"/>
      <c r="Q64" s="171" t="s">
        <v>71</v>
      </c>
      <c r="R64" s="172"/>
      <c r="S64" s="172"/>
      <c r="T64" s="172"/>
      <c r="U64" s="173"/>
    </row>
    <row r="65" spans="1:21" s="28" customFormat="1">
      <c r="A65" s="27"/>
      <c r="B65" s="94"/>
      <c r="C65" s="95"/>
      <c r="D65" s="95"/>
      <c r="E65" s="95"/>
      <c r="F65" s="95"/>
      <c r="G65" s="96"/>
      <c r="H65" s="94"/>
      <c r="I65" s="96"/>
      <c r="J65" s="26"/>
      <c r="K65" s="27"/>
      <c r="L65" s="27"/>
      <c r="M65" s="27"/>
      <c r="N65" s="92"/>
      <c r="O65" s="93"/>
      <c r="Q65" s="89"/>
      <c r="R65" s="90"/>
      <c r="S65" s="90"/>
      <c r="T65" s="90"/>
      <c r="U65" s="91"/>
    </row>
    <row r="66" spans="1:21" s="28" customFormat="1">
      <c r="A66" s="27"/>
      <c r="B66" s="94"/>
      <c r="C66" s="95"/>
      <c r="D66" s="95"/>
      <c r="E66" s="95"/>
      <c r="F66" s="95"/>
      <c r="G66" s="96"/>
      <c r="H66" s="94"/>
      <c r="I66" s="96"/>
      <c r="J66" s="26"/>
      <c r="K66" s="27"/>
      <c r="L66" s="27"/>
      <c r="M66" s="27"/>
      <c r="N66" s="92"/>
      <c r="O66" s="93"/>
      <c r="Q66" s="89"/>
      <c r="R66" s="90"/>
      <c r="S66" s="90"/>
      <c r="T66" s="90"/>
      <c r="U66" s="91"/>
    </row>
    <row r="67" spans="1:21" s="28" customFormat="1">
      <c r="A67" s="27"/>
      <c r="B67" s="94"/>
      <c r="C67" s="95"/>
      <c r="D67" s="95"/>
      <c r="E67" s="95"/>
      <c r="F67" s="95"/>
      <c r="G67" s="96"/>
      <c r="H67" s="94"/>
      <c r="I67" s="96"/>
      <c r="J67" s="26"/>
      <c r="K67" s="27"/>
      <c r="L67" s="27"/>
      <c r="M67" s="27"/>
      <c r="N67" s="92"/>
      <c r="O67" s="93"/>
      <c r="Q67" s="89"/>
      <c r="R67" s="90"/>
      <c r="S67" s="90"/>
      <c r="T67" s="90"/>
      <c r="U67" s="91"/>
    </row>
    <row r="69" spans="1:21" s="28" customFormat="1" ht="49.35" customHeight="1">
      <c r="A69" s="74">
        <v>1</v>
      </c>
      <c r="B69" s="114" t="s">
        <v>105</v>
      </c>
      <c r="C69" s="115"/>
      <c r="D69" s="115"/>
      <c r="E69" s="115"/>
      <c r="F69" s="115"/>
      <c r="G69" s="116"/>
      <c r="H69" s="110" t="s">
        <v>80</v>
      </c>
      <c r="I69" s="110"/>
      <c r="J69" s="77" t="s">
        <v>78</v>
      </c>
      <c r="K69" s="73" t="s">
        <v>56</v>
      </c>
      <c r="L69" s="24"/>
      <c r="M69" s="24"/>
      <c r="N69" s="102"/>
      <c r="O69" s="102"/>
      <c r="P69" s="22"/>
      <c r="Q69" s="99" t="s">
        <v>76</v>
      </c>
      <c r="R69" s="100"/>
      <c r="S69" s="100"/>
      <c r="T69" s="100"/>
      <c r="U69" s="101"/>
    </row>
    <row r="70" spans="1:21" ht="43.5" customHeight="1">
      <c r="A70" s="74">
        <v>2</v>
      </c>
      <c r="B70" s="111" t="s">
        <v>106</v>
      </c>
      <c r="C70" s="112"/>
      <c r="D70" s="112"/>
      <c r="E70" s="112"/>
      <c r="F70" s="112"/>
      <c r="G70" s="117"/>
      <c r="H70" s="110" t="s">
        <v>80</v>
      </c>
      <c r="I70" s="110"/>
      <c r="J70" s="77" t="s">
        <v>78</v>
      </c>
      <c r="K70" s="73" t="s">
        <v>56</v>
      </c>
      <c r="L70" s="24"/>
      <c r="M70" s="24"/>
      <c r="N70" s="102"/>
      <c r="O70" s="102"/>
      <c r="Q70" s="99" t="s">
        <v>76</v>
      </c>
      <c r="R70" s="100"/>
      <c r="S70" s="100"/>
      <c r="T70" s="100"/>
      <c r="U70" s="101"/>
    </row>
    <row r="71" spans="1:21" s="28" customFormat="1" ht="49.35" customHeight="1">
      <c r="A71" s="74">
        <v>3</v>
      </c>
      <c r="B71" s="111" t="s">
        <v>107</v>
      </c>
      <c r="C71" s="112"/>
      <c r="D71" s="113"/>
      <c r="E71" s="113"/>
      <c r="F71" s="113"/>
      <c r="G71" s="109"/>
      <c r="H71" s="110" t="s">
        <v>80</v>
      </c>
      <c r="I71" s="110"/>
      <c r="J71" s="77" t="s">
        <v>78</v>
      </c>
      <c r="K71" s="73" t="s">
        <v>56</v>
      </c>
      <c r="L71" s="24"/>
      <c r="M71" s="24"/>
      <c r="N71" s="102"/>
      <c r="O71" s="102"/>
      <c r="P71" s="22"/>
      <c r="Q71" s="99" t="s">
        <v>76</v>
      </c>
      <c r="R71" s="100"/>
      <c r="S71" s="100"/>
      <c r="T71" s="100"/>
      <c r="U71" s="101"/>
    </row>
    <row r="72" spans="1:21" s="28" customFormat="1" ht="71.25" customHeight="1">
      <c r="A72" s="74">
        <v>4</v>
      </c>
      <c r="B72" s="111" t="s">
        <v>108</v>
      </c>
      <c r="C72" s="112"/>
      <c r="D72" s="113"/>
      <c r="E72" s="113"/>
      <c r="F72" s="113"/>
      <c r="G72" s="109"/>
      <c r="H72" s="110" t="s">
        <v>80</v>
      </c>
      <c r="I72" s="110"/>
      <c r="J72" s="77" t="s">
        <v>78</v>
      </c>
      <c r="K72" s="73" t="s">
        <v>60</v>
      </c>
      <c r="L72" s="24"/>
      <c r="M72" s="24"/>
      <c r="N72" s="102"/>
      <c r="O72" s="102"/>
      <c r="P72" s="22"/>
      <c r="Q72" s="99" t="s">
        <v>76</v>
      </c>
      <c r="R72" s="100"/>
      <c r="S72" s="100"/>
      <c r="T72" s="100"/>
      <c r="U72" s="101"/>
    </row>
    <row r="73" spans="1:21" s="28" customFormat="1" ht="49.35" customHeight="1">
      <c r="A73" s="74">
        <v>5</v>
      </c>
      <c r="B73" s="111" t="s">
        <v>109</v>
      </c>
      <c r="C73" s="112"/>
      <c r="D73" s="113"/>
      <c r="E73" s="113"/>
      <c r="F73" s="113"/>
      <c r="G73" s="109"/>
      <c r="H73" s="110" t="s">
        <v>80</v>
      </c>
      <c r="I73" s="110"/>
      <c r="J73" s="77" t="s">
        <v>78</v>
      </c>
      <c r="K73" s="73" t="s">
        <v>60</v>
      </c>
      <c r="L73" s="24"/>
      <c r="M73" s="24"/>
      <c r="N73" s="102"/>
      <c r="O73" s="102"/>
      <c r="P73" s="22"/>
      <c r="Q73" s="99" t="s">
        <v>76</v>
      </c>
      <c r="R73" s="100"/>
      <c r="S73" s="100"/>
      <c r="T73" s="100"/>
      <c r="U73" s="101"/>
    </row>
    <row r="74" spans="1:21" ht="43.5" customHeight="1">
      <c r="A74" s="74">
        <v>6</v>
      </c>
      <c r="B74" s="111" t="s">
        <v>110</v>
      </c>
      <c r="C74" s="112"/>
      <c r="D74" s="112"/>
      <c r="E74" s="112"/>
      <c r="F74" s="112"/>
      <c r="G74" s="117"/>
      <c r="H74" s="110" t="s">
        <v>80</v>
      </c>
      <c r="I74" s="110"/>
      <c r="J74" s="77" t="s">
        <v>78</v>
      </c>
      <c r="K74" s="73" t="s">
        <v>56</v>
      </c>
      <c r="L74" s="24"/>
      <c r="M74" s="24"/>
      <c r="N74" s="102"/>
      <c r="O74" s="102"/>
      <c r="Q74" s="99" t="s">
        <v>76</v>
      </c>
      <c r="R74" s="100"/>
      <c r="S74" s="100"/>
      <c r="T74" s="100"/>
      <c r="U74" s="101"/>
    </row>
    <row r="75" spans="1:21" ht="43.5" customHeight="1">
      <c r="A75" s="74">
        <v>7</v>
      </c>
      <c r="B75" s="111" t="s">
        <v>111</v>
      </c>
      <c r="C75" s="112"/>
      <c r="D75" s="113"/>
      <c r="E75" s="113"/>
      <c r="F75" s="113"/>
      <c r="G75" s="109"/>
      <c r="H75" s="110" t="s">
        <v>80</v>
      </c>
      <c r="I75" s="110"/>
      <c r="J75" s="77" t="s">
        <v>78</v>
      </c>
      <c r="K75" s="73" t="s">
        <v>56</v>
      </c>
      <c r="L75" s="24"/>
      <c r="M75" s="24"/>
      <c r="N75" s="102"/>
      <c r="O75" s="102"/>
      <c r="Q75" s="99" t="s">
        <v>76</v>
      </c>
      <c r="R75" s="100"/>
      <c r="S75" s="100"/>
      <c r="T75" s="100"/>
      <c r="U75" s="101"/>
    </row>
    <row r="76" spans="1:21" ht="43.5" customHeight="1">
      <c r="A76" s="74">
        <v>8</v>
      </c>
      <c r="B76" s="111" t="s">
        <v>112</v>
      </c>
      <c r="C76" s="112"/>
      <c r="D76" s="112"/>
      <c r="E76" s="112"/>
      <c r="F76" s="112"/>
      <c r="G76" s="117"/>
      <c r="H76" s="110" t="s">
        <v>80</v>
      </c>
      <c r="I76" s="110"/>
      <c r="J76" s="77" t="s">
        <v>78</v>
      </c>
      <c r="K76" s="73" t="s">
        <v>56</v>
      </c>
      <c r="L76" s="24"/>
      <c r="M76" s="24"/>
      <c r="N76" s="102"/>
      <c r="O76" s="102"/>
      <c r="Q76" s="99" t="s">
        <v>76</v>
      </c>
      <c r="R76" s="100"/>
      <c r="S76" s="100"/>
      <c r="T76" s="100"/>
      <c r="U76" s="101"/>
    </row>
    <row r="77" spans="1:21" ht="43.5" customHeight="1">
      <c r="A77" s="74">
        <v>10</v>
      </c>
      <c r="B77" s="111" t="s">
        <v>113</v>
      </c>
      <c r="C77" s="112"/>
      <c r="D77" s="112"/>
      <c r="E77" s="112"/>
      <c r="F77" s="112"/>
      <c r="G77" s="117"/>
      <c r="H77" s="110" t="s">
        <v>80</v>
      </c>
      <c r="I77" s="110"/>
      <c r="J77" s="77" t="s">
        <v>78</v>
      </c>
      <c r="K77" s="73" t="s">
        <v>56</v>
      </c>
      <c r="L77" s="24"/>
      <c r="M77" s="24"/>
      <c r="N77" s="102"/>
      <c r="O77" s="102"/>
      <c r="Q77" s="99" t="s">
        <v>76</v>
      </c>
      <c r="R77" s="100"/>
      <c r="S77" s="100"/>
      <c r="T77" s="100"/>
      <c r="U77" s="101"/>
    </row>
    <row r="78" spans="1:21" ht="43.5" customHeight="1">
      <c r="A78" s="74">
        <v>11</v>
      </c>
      <c r="B78" s="111" t="s">
        <v>114</v>
      </c>
      <c r="C78" s="112"/>
      <c r="D78" s="113"/>
      <c r="E78" s="113"/>
      <c r="F78" s="113"/>
      <c r="G78" s="109"/>
      <c r="H78" s="110" t="s">
        <v>80</v>
      </c>
      <c r="I78" s="110"/>
      <c r="J78" s="77" t="s">
        <v>78</v>
      </c>
      <c r="K78" s="73" t="s">
        <v>56</v>
      </c>
      <c r="L78" s="24"/>
      <c r="M78" s="24"/>
      <c r="N78" s="102"/>
      <c r="O78" s="102"/>
      <c r="Q78" s="99" t="s">
        <v>76</v>
      </c>
      <c r="R78" s="100"/>
      <c r="S78" s="100"/>
      <c r="T78" s="100"/>
      <c r="U78" s="101"/>
    </row>
    <row r="79" spans="1:21" ht="60.75" customHeight="1">
      <c r="A79" s="74">
        <v>12</v>
      </c>
      <c r="B79" s="111" t="s">
        <v>115</v>
      </c>
      <c r="C79" s="112"/>
      <c r="D79" s="113"/>
      <c r="E79" s="113"/>
      <c r="F79" s="113"/>
      <c r="G79" s="109"/>
      <c r="H79" s="110" t="s">
        <v>80</v>
      </c>
      <c r="I79" s="110"/>
      <c r="J79" s="77" t="s">
        <v>78</v>
      </c>
      <c r="K79" s="73" t="s">
        <v>60</v>
      </c>
      <c r="L79" s="24"/>
      <c r="M79" s="24"/>
      <c r="N79" s="102"/>
      <c r="O79" s="102"/>
      <c r="Q79" s="99" t="s">
        <v>76</v>
      </c>
      <c r="R79" s="100"/>
      <c r="S79" s="100"/>
      <c r="T79" s="100"/>
      <c r="U79" s="101"/>
    </row>
    <row r="80" spans="1:21" ht="43.5" hidden="1" customHeight="1">
      <c r="A80" s="98">
        <v>13</v>
      </c>
      <c r="B80" s="114" t="s">
        <v>116</v>
      </c>
      <c r="C80" s="115"/>
      <c r="D80" s="115"/>
      <c r="E80" s="115"/>
      <c r="F80" s="115"/>
      <c r="G80" s="116"/>
      <c r="H80" s="110" t="s">
        <v>80</v>
      </c>
      <c r="I80" s="110"/>
      <c r="J80" s="77" t="s">
        <v>78</v>
      </c>
      <c r="K80" s="73" t="s">
        <v>56</v>
      </c>
      <c r="L80" s="24"/>
      <c r="M80" s="24"/>
      <c r="N80" s="102"/>
      <c r="O80" s="102"/>
      <c r="Q80" s="99" t="s">
        <v>76</v>
      </c>
      <c r="R80" s="100"/>
      <c r="S80" s="100"/>
      <c r="T80" s="100"/>
      <c r="U80" s="101"/>
    </row>
    <row r="81" spans="1:21" ht="43.5" customHeight="1">
      <c r="A81" s="98">
        <v>14</v>
      </c>
      <c r="B81" s="114" t="s">
        <v>117</v>
      </c>
      <c r="C81" s="115"/>
      <c r="D81" s="115"/>
      <c r="E81" s="115"/>
      <c r="F81" s="115"/>
      <c r="G81" s="116"/>
      <c r="H81" s="110" t="s">
        <v>80</v>
      </c>
      <c r="I81" s="110"/>
      <c r="J81" s="77" t="s">
        <v>78</v>
      </c>
      <c r="K81" s="73" t="s">
        <v>56</v>
      </c>
      <c r="L81" s="24"/>
      <c r="M81" s="24"/>
      <c r="N81" s="102"/>
      <c r="O81" s="102"/>
      <c r="Q81" s="99" t="s">
        <v>76</v>
      </c>
      <c r="R81" s="100"/>
      <c r="S81" s="100"/>
      <c r="T81" s="100"/>
      <c r="U81" s="101"/>
    </row>
    <row r="82" spans="1:21" ht="43.5" customHeight="1">
      <c r="A82" s="98">
        <v>15</v>
      </c>
      <c r="B82" s="114" t="s">
        <v>118</v>
      </c>
      <c r="C82" s="115"/>
      <c r="D82" s="115"/>
      <c r="E82" s="115"/>
      <c r="F82" s="115"/>
      <c r="G82" s="116"/>
      <c r="H82" s="110" t="s">
        <v>80</v>
      </c>
      <c r="I82" s="110"/>
      <c r="J82" s="77" t="s">
        <v>78</v>
      </c>
      <c r="K82" s="73" t="s">
        <v>56</v>
      </c>
      <c r="L82" s="24"/>
      <c r="M82" s="24"/>
      <c r="N82" s="102"/>
      <c r="O82" s="102"/>
      <c r="Q82" s="99" t="s">
        <v>76</v>
      </c>
      <c r="R82" s="100"/>
      <c r="S82" s="100"/>
      <c r="T82" s="100"/>
      <c r="U82" s="101"/>
    </row>
    <row r="83" spans="1:21" ht="43.5" customHeight="1">
      <c r="A83" s="98">
        <v>16</v>
      </c>
      <c r="B83" s="114" t="s">
        <v>119</v>
      </c>
      <c r="C83" s="115"/>
      <c r="D83" s="115"/>
      <c r="E83" s="115"/>
      <c r="F83" s="115"/>
      <c r="G83" s="116"/>
      <c r="H83" s="110" t="s">
        <v>80</v>
      </c>
      <c r="I83" s="110"/>
      <c r="J83" s="77" t="s">
        <v>78</v>
      </c>
      <c r="K83" s="73" t="s">
        <v>56</v>
      </c>
      <c r="L83" s="24"/>
      <c r="M83" s="24"/>
      <c r="N83" s="102"/>
      <c r="O83" s="102"/>
      <c r="Q83" s="99" t="s">
        <v>76</v>
      </c>
      <c r="R83" s="100"/>
      <c r="S83" s="100"/>
      <c r="T83" s="100"/>
      <c r="U83" s="101"/>
    </row>
    <row r="84" spans="1:21" ht="43.5" customHeight="1">
      <c r="A84" s="98">
        <v>17</v>
      </c>
      <c r="B84" s="114" t="s">
        <v>120</v>
      </c>
      <c r="C84" s="115"/>
      <c r="D84" s="115"/>
      <c r="E84" s="115"/>
      <c r="F84" s="115"/>
      <c r="G84" s="116"/>
      <c r="H84" s="110" t="s">
        <v>80</v>
      </c>
      <c r="I84" s="110"/>
      <c r="J84" s="77" t="s">
        <v>78</v>
      </c>
      <c r="K84" s="73" t="s">
        <v>56</v>
      </c>
      <c r="L84" s="24"/>
      <c r="M84" s="24"/>
      <c r="N84" s="102"/>
      <c r="O84" s="102"/>
      <c r="Q84" s="99" t="s">
        <v>76</v>
      </c>
      <c r="R84" s="100"/>
      <c r="S84" s="100"/>
      <c r="T84" s="100"/>
      <c r="U84" s="101"/>
    </row>
    <row r="85" spans="1:21" ht="43.5" customHeight="1">
      <c r="A85" s="98">
        <v>19</v>
      </c>
      <c r="B85" s="114" t="s">
        <v>121</v>
      </c>
      <c r="C85" s="115"/>
      <c r="D85" s="115"/>
      <c r="E85" s="115"/>
      <c r="F85" s="115"/>
      <c r="G85" s="116"/>
      <c r="H85" s="110" t="s">
        <v>80</v>
      </c>
      <c r="I85" s="110"/>
      <c r="J85" s="77" t="s">
        <v>78</v>
      </c>
      <c r="K85" s="73" t="s">
        <v>56</v>
      </c>
      <c r="L85" s="24"/>
      <c r="M85" s="24"/>
      <c r="N85" s="102"/>
      <c r="O85" s="102"/>
      <c r="Q85" s="99" t="s">
        <v>76</v>
      </c>
      <c r="R85" s="100"/>
      <c r="S85" s="100"/>
      <c r="T85" s="100"/>
      <c r="U85" s="101"/>
    </row>
    <row r="86" spans="1:21" ht="43.5" customHeight="1">
      <c r="A86" s="98">
        <v>20</v>
      </c>
      <c r="B86" s="114" t="s">
        <v>122</v>
      </c>
      <c r="C86" s="115"/>
      <c r="D86" s="115"/>
      <c r="E86" s="115"/>
      <c r="F86" s="115"/>
      <c r="G86" s="116"/>
      <c r="H86" s="110" t="s">
        <v>80</v>
      </c>
      <c r="I86" s="110"/>
      <c r="J86" s="77" t="s">
        <v>78</v>
      </c>
      <c r="K86" s="73" t="s">
        <v>56</v>
      </c>
      <c r="L86" s="24"/>
      <c r="M86" s="24"/>
      <c r="N86" s="102"/>
      <c r="O86" s="102"/>
      <c r="Q86" s="99" t="s">
        <v>76</v>
      </c>
      <c r="R86" s="100"/>
      <c r="S86" s="100"/>
      <c r="T86" s="100"/>
      <c r="U86" s="101"/>
    </row>
    <row r="87" spans="1:21" ht="43.5" customHeight="1">
      <c r="A87" s="98">
        <v>21</v>
      </c>
      <c r="B87" s="114" t="s">
        <v>123</v>
      </c>
      <c r="C87" s="115"/>
      <c r="D87" s="115"/>
      <c r="E87" s="115"/>
      <c r="F87" s="115"/>
      <c r="G87" s="116"/>
      <c r="H87" s="110" t="s">
        <v>80</v>
      </c>
      <c r="I87" s="110"/>
      <c r="J87" s="77" t="s">
        <v>78</v>
      </c>
      <c r="K87" s="73" t="s">
        <v>56</v>
      </c>
      <c r="L87" s="24"/>
      <c r="M87" s="24"/>
      <c r="N87" s="102"/>
      <c r="O87" s="102"/>
      <c r="Q87" s="99" t="s">
        <v>76</v>
      </c>
      <c r="R87" s="100"/>
      <c r="S87" s="100"/>
      <c r="T87" s="100"/>
      <c r="U87" s="101"/>
    </row>
    <row r="88" spans="1:21" ht="14.45" customHeight="1">
      <c r="B88" s="162"/>
      <c r="C88" s="162"/>
      <c r="D88" s="162"/>
      <c r="E88" s="162"/>
      <c r="F88" s="162"/>
      <c r="G88" s="162"/>
      <c r="H88" s="163"/>
      <c r="I88" s="163"/>
      <c r="J88" s="161"/>
      <c r="K88" s="161"/>
    </row>
    <row r="89" spans="1:21" ht="14.45" customHeight="1"/>
    <row r="90" spans="1:21" ht="14.45" customHeight="1"/>
  </sheetData>
  <sheetProtection algorithmName="SHA-512" hashValue="kQJxChVMLEB1WsejQeUc61GdhsOUUM6S9gNimhSVtm1HalM/rF3giLLMwvaU7W4SYipSywLBcJzXrGchDsLREw==" saltValue="31iB1dzDhrLb+vo7StQvhA==" spinCount="100000" sheet="1" formatCells="0" formatColumns="0" formatRows="0" insertColumns="0" insertRows="0" insertHyperlinks="0" deleteColumns="0" deleteRows="0" selectLockedCells="1" sort="0" autoFilter="0" pivotTables="0"/>
  <sortState xmlns:xlrd2="http://schemas.microsoft.com/office/spreadsheetml/2017/richdata2" ref="E20:E27">
    <sortCondition ref="E20:E27"/>
  </sortState>
  <mergeCells count="235">
    <mergeCell ref="N36:O36"/>
    <mergeCell ref="H59:I59"/>
    <mergeCell ref="B60:G60"/>
    <mergeCell ref="H60:I60"/>
    <mergeCell ref="B53:G53"/>
    <mergeCell ref="H53:I53"/>
    <mergeCell ref="B36:G36"/>
    <mergeCell ref="H36:I36"/>
    <mergeCell ref="Q73:U73"/>
    <mergeCell ref="N40:O40"/>
    <mergeCell ref="N42:O42"/>
    <mergeCell ref="N44:O44"/>
    <mergeCell ref="N46:O46"/>
    <mergeCell ref="N48:O48"/>
    <mergeCell ref="B48:G48"/>
    <mergeCell ref="H48:I48"/>
    <mergeCell ref="B50:G50"/>
    <mergeCell ref="H50:I50"/>
    <mergeCell ref="B69:G69"/>
    <mergeCell ref="H69:I69"/>
    <mergeCell ref="N69:O69"/>
    <mergeCell ref="Q69:U69"/>
    <mergeCell ref="B55:G55"/>
    <mergeCell ref="B56:G56"/>
    <mergeCell ref="B57:G57"/>
    <mergeCell ref="B58:G58"/>
    <mergeCell ref="B59:G59"/>
    <mergeCell ref="H55:I55"/>
    <mergeCell ref="H56:I56"/>
    <mergeCell ref="H57:I57"/>
    <mergeCell ref="N76:O76"/>
    <mergeCell ref="Q76:U76"/>
    <mergeCell ref="N84:O84"/>
    <mergeCell ref="Q84:U84"/>
    <mergeCell ref="H58:I58"/>
    <mergeCell ref="N77:O77"/>
    <mergeCell ref="Q77:U77"/>
    <mergeCell ref="Q74:U74"/>
    <mergeCell ref="N73:O73"/>
    <mergeCell ref="Q75:U75"/>
    <mergeCell ref="Q55:U55"/>
    <mergeCell ref="Q56:U56"/>
    <mergeCell ref="Q57:U57"/>
    <mergeCell ref="Q58:U58"/>
    <mergeCell ref="Q59:U59"/>
    <mergeCell ref="Q60:U60"/>
    <mergeCell ref="Q61:U61"/>
    <mergeCell ref="N52:O52"/>
    <mergeCell ref="N71:O71"/>
    <mergeCell ref="Q71:U71"/>
    <mergeCell ref="B46:G46"/>
    <mergeCell ref="H46:I46"/>
    <mergeCell ref="H40:I40"/>
    <mergeCell ref="B44:G44"/>
    <mergeCell ref="H44:I44"/>
    <mergeCell ref="B86:G86"/>
    <mergeCell ref="H86:I86"/>
    <mergeCell ref="N86:O86"/>
    <mergeCell ref="Q86:U86"/>
    <mergeCell ref="N54:O54"/>
    <mergeCell ref="N61:O61"/>
    <mergeCell ref="Q64:U64"/>
    <mergeCell ref="Q63:R63"/>
    <mergeCell ref="Q62:R62"/>
    <mergeCell ref="T62:U62"/>
    <mergeCell ref="N64:O64"/>
    <mergeCell ref="T63:U63"/>
    <mergeCell ref="Q80:U80"/>
    <mergeCell ref="N70:O70"/>
    <mergeCell ref="Q70:U70"/>
    <mergeCell ref="N74:O74"/>
    <mergeCell ref="A29:O29"/>
    <mergeCell ref="B31:G31"/>
    <mergeCell ref="G24:H24"/>
    <mergeCell ref="B25:E25"/>
    <mergeCell ref="G26:H26"/>
    <mergeCell ref="J88:K88"/>
    <mergeCell ref="B40:G40"/>
    <mergeCell ref="B88:G88"/>
    <mergeCell ref="H88:I88"/>
    <mergeCell ref="B64:G64"/>
    <mergeCell ref="H64:I64"/>
    <mergeCell ref="B54:G54"/>
    <mergeCell ref="H54:I54"/>
    <mergeCell ref="B61:G61"/>
    <mergeCell ref="H61:I61"/>
    <mergeCell ref="B42:G42"/>
    <mergeCell ref="H42:I42"/>
    <mergeCell ref="B84:G84"/>
    <mergeCell ref="H84:I84"/>
    <mergeCell ref="B85:G85"/>
    <mergeCell ref="H85:I85"/>
    <mergeCell ref="B83:G83"/>
    <mergeCell ref="H74:I74"/>
    <mergeCell ref="H73:I73"/>
    <mergeCell ref="B24:E24"/>
    <mergeCell ref="I22:K22"/>
    <mergeCell ref="I25:K25"/>
    <mergeCell ref="B23:E23"/>
    <mergeCell ref="B26:E26"/>
    <mergeCell ref="B27:E27"/>
    <mergeCell ref="I24:K24"/>
    <mergeCell ref="I21:K21"/>
    <mergeCell ref="G25:H25"/>
    <mergeCell ref="I26:K26"/>
    <mergeCell ref="G21:H21"/>
    <mergeCell ref="G22:H22"/>
    <mergeCell ref="A11:A13"/>
    <mergeCell ref="D13:E13"/>
    <mergeCell ref="B14:E14"/>
    <mergeCell ref="G23:H23"/>
    <mergeCell ref="B22:E22"/>
    <mergeCell ref="A16:O16"/>
    <mergeCell ref="G18:H18"/>
    <mergeCell ref="I18:K18"/>
    <mergeCell ref="B18:E18"/>
    <mergeCell ref="D11:E11"/>
    <mergeCell ref="D12:E12"/>
    <mergeCell ref="H13:I13"/>
    <mergeCell ref="H11:I11"/>
    <mergeCell ref="B19:E19"/>
    <mergeCell ref="K9:O13"/>
    <mergeCell ref="B9:E9"/>
    <mergeCell ref="B20:E20"/>
    <mergeCell ref="B21:E21"/>
    <mergeCell ref="I20:K20"/>
    <mergeCell ref="I23:K23"/>
    <mergeCell ref="G20:H20"/>
    <mergeCell ref="N50:O50"/>
    <mergeCell ref="B52:G52"/>
    <mergeCell ref="H52:I52"/>
    <mergeCell ref="N72:O72"/>
    <mergeCell ref="Q72:U72"/>
    <mergeCell ref="B73:G73"/>
    <mergeCell ref="K8:O8"/>
    <mergeCell ref="Q32:U32"/>
    <mergeCell ref="H31:I31"/>
    <mergeCell ref="I27:K27"/>
    <mergeCell ref="N31:O31"/>
    <mergeCell ref="H32:I32"/>
    <mergeCell ref="G27:H27"/>
    <mergeCell ref="N32:O32"/>
    <mergeCell ref="H10:I10"/>
    <mergeCell ref="Q8:U8"/>
    <mergeCell ref="Q9:U13"/>
    <mergeCell ref="Q31:U31"/>
    <mergeCell ref="B32:G32"/>
    <mergeCell ref="H8:I8"/>
    <mergeCell ref="H9:I9"/>
    <mergeCell ref="B8:E8"/>
    <mergeCell ref="B10:E10"/>
    <mergeCell ref="B35:G35"/>
    <mergeCell ref="H35:I35"/>
    <mergeCell ref="N35:O35"/>
    <mergeCell ref="Q35:U35"/>
    <mergeCell ref="B70:G70"/>
    <mergeCell ref="H70:I70"/>
    <mergeCell ref="A62:O62"/>
    <mergeCell ref="B74:G74"/>
    <mergeCell ref="B81:G81"/>
    <mergeCell ref="B76:G76"/>
    <mergeCell ref="H76:I76"/>
    <mergeCell ref="B77:G77"/>
    <mergeCell ref="H77:I77"/>
    <mergeCell ref="B80:G80"/>
    <mergeCell ref="B37:G37"/>
    <mergeCell ref="B38:G38"/>
    <mergeCell ref="B39:G39"/>
    <mergeCell ref="H37:I37"/>
    <mergeCell ref="H38:I38"/>
    <mergeCell ref="H39:I39"/>
    <mergeCell ref="B79:G79"/>
    <mergeCell ref="H80:I80"/>
    <mergeCell ref="N80:O80"/>
    <mergeCell ref="N75:O75"/>
    <mergeCell ref="Q36:U36"/>
    <mergeCell ref="N85:O85"/>
    <mergeCell ref="Q85:U85"/>
    <mergeCell ref="N83:O83"/>
    <mergeCell ref="Q83:U83"/>
    <mergeCell ref="B78:G78"/>
    <mergeCell ref="H78:I78"/>
    <mergeCell ref="H81:I81"/>
    <mergeCell ref="N81:O81"/>
    <mergeCell ref="Q81:U81"/>
    <mergeCell ref="N78:O78"/>
    <mergeCell ref="N79:O79"/>
    <mergeCell ref="Q78:U78"/>
    <mergeCell ref="Q79:U79"/>
    <mergeCell ref="B82:G82"/>
    <mergeCell ref="H82:I82"/>
    <mergeCell ref="N82:O82"/>
    <mergeCell ref="Q82:U82"/>
    <mergeCell ref="Q87:U87"/>
    <mergeCell ref="N87:O87"/>
    <mergeCell ref="B41:G41"/>
    <mergeCell ref="B43:G43"/>
    <mergeCell ref="B47:G47"/>
    <mergeCell ref="B45:G45"/>
    <mergeCell ref="B49:G49"/>
    <mergeCell ref="H43:I43"/>
    <mergeCell ref="B51:G51"/>
    <mergeCell ref="H51:I51"/>
    <mergeCell ref="H49:I49"/>
    <mergeCell ref="H47:I47"/>
    <mergeCell ref="H45:I45"/>
    <mergeCell ref="H41:I41"/>
    <mergeCell ref="H79:I79"/>
    <mergeCell ref="B75:G75"/>
    <mergeCell ref="H75:I75"/>
    <mergeCell ref="B87:G87"/>
    <mergeCell ref="H87:I87"/>
    <mergeCell ref="B71:G71"/>
    <mergeCell ref="H71:I71"/>
    <mergeCell ref="B72:G72"/>
    <mergeCell ref="H72:I72"/>
    <mergeCell ref="H83:I83"/>
    <mergeCell ref="Q37:U37"/>
    <mergeCell ref="Q38:U38"/>
    <mergeCell ref="Q39:U39"/>
    <mergeCell ref="Q40:U40"/>
    <mergeCell ref="Q41:U41"/>
    <mergeCell ref="Q42:U42"/>
    <mergeCell ref="Q43:U43"/>
    <mergeCell ref="Q44:U44"/>
    <mergeCell ref="Q45:U45"/>
    <mergeCell ref="Q46:U46"/>
    <mergeCell ref="Q47:U47"/>
    <mergeCell ref="Q48:U48"/>
    <mergeCell ref="Q49:U49"/>
    <mergeCell ref="Q50:U50"/>
    <mergeCell ref="Q51:U51"/>
    <mergeCell ref="Q52:U52"/>
    <mergeCell ref="Q53:U53"/>
    <mergeCell ref="Q54:U54"/>
  </mergeCells>
  <phoneticPr fontId="17" type="noConversion"/>
  <conditionalFormatting sqref="Q32:U61 Q69:U87">
    <cfRule type="cellIs" dxfId="11" priority="7" operator="equal">
      <formula>"En espera"</formula>
    </cfRule>
    <cfRule type="cellIs" dxfId="10" priority="8" operator="equal">
      <formula>"Completado"</formula>
    </cfRule>
    <cfRule type="cellIs" dxfId="9" priority="9" operator="equal">
      <formula>"Error"</formula>
    </cfRule>
  </conditionalFormatting>
  <dataValidations count="6">
    <dataValidation type="list" allowBlank="1" showInputMessage="1" showErrorMessage="1" sqref="H13:J14" xr:uid="{B9D799AB-223E-465C-B047-81A193F2233E}">
      <formula1>"Selecciona,Si,No"</formula1>
    </dataValidation>
    <dataValidation type="list" allowBlank="1" showInputMessage="1" showErrorMessage="1" sqref="H12:J12" xr:uid="{E9CF1703-F382-449D-8679-2550FAC61A26}">
      <formula1>"Selecciona,Alto,Medio,Bajo"</formula1>
    </dataValidation>
    <dataValidation type="list" allowBlank="1" showInputMessage="1" showErrorMessage="1" sqref="H8:J11" xr:uid="{F00F5EBF-EC60-4875-9FA2-D8268971A6EC}">
      <formula1>"Selecciona,Normal,Estandar,Emergente"</formula1>
    </dataValidation>
    <dataValidation type="list" allowBlank="1" showInputMessage="1" showErrorMessage="1" sqref="B14:E14" xr:uid="{B5A603CB-D0BA-4DC7-8C8D-4AD84E7F1BFB}">
      <formula1>"Selecciona,PROD,QA1,QA2,QA3"</formula1>
    </dataValidation>
    <dataValidation type="list" allowBlank="1" showInputMessage="1" showErrorMessage="1" sqref="K32:K63" xr:uid="{DCF48AC0-6370-43F6-BE57-797ADB2909E1}">
      <formula1>$F$19:$F$27</formula1>
    </dataValidation>
    <dataValidation type="list" allowBlank="1" showInputMessage="1" showErrorMessage="1" sqref="Q32:U63" xr:uid="{BC1506FB-B61C-4138-9651-DA1D0FAA07DC}">
      <formula1>"En espera, Completado, Error"</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C3F36-3B98-498F-81BF-52045D9381D4}">
  <dimension ref="A8:M27"/>
  <sheetViews>
    <sheetView showGridLines="0" zoomScale="85" zoomScaleNormal="85" zoomScalePageLayoutView="85" workbookViewId="0">
      <selection activeCell="I34" sqref="I34"/>
    </sheetView>
  </sheetViews>
  <sheetFormatPr defaultColWidth="10.85546875" defaultRowHeight="15"/>
  <cols>
    <col min="1" max="1" width="23.140625" style="1" customWidth="1"/>
    <col min="2" max="2" width="17.42578125" style="1" customWidth="1"/>
    <col min="3" max="3" width="10.85546875" style="1"/>
    <col min="4" max="4" width="16.42578125" style="1" customWidth="1"/>
    <col min="5" max="5" width="10.42578125" style="1" customWidth="1"/>
    <col min="6" max="6" width="17.42578125" style="1" customWidth="1"/>
    <col min="7" max="7" width="14.42578125" style="1" customWidth="1"/>
    <col min="8" max="8" width="34.42578125" style="1" customWidth="1"/>
    <col min="9" max="9" width="11.85546875" style="1" customWidth="1"/>
    <col min="10" max="10" width="14.42578125" style="1" customWidth="1"/>
    <col min="11" max="12" width="10.85546875" style="1" customWidth="1"/>
    <col min="13" max="13" width="16.42578125" style="1" customWidth="1"/>
    <col min="14" max="16384" width="10.85546875" style="1"/>
  </cols>
  <sheetData>
    <row r="8" spans="1:13" ht="23.1" customHeight="1">
      <c r="A8" s="46" t="str">
        <f>EV.RIESGO!A8</f>
        <v>ID del proyecto:</v>
      </c>
      <c r="B8" s="213" t="str">
        <f>EV.RIESGO!B8</f>
        <v>ris001-pe26</v>
      </c>
      <c r="C8" s="214"/>
      <c r="D8" s="215"/>
      <c r="E8" s="47"/>
      <c r="F8" s="48" t="str">
        <f>EV.RIESGO!F8</f>
        <v>Tipo de Cambio:</v>
      </c>
      <c r="G8" s="220" t="str">
        <f>EV.RIESGO!G8</f>
        <v>Normal</v>
      </c>
      <c r="H8" s="220"/>
      <c r="I8" s="221" t="str">
        <f>EV.RIESGO!I8</f>
        <v>Comentarios adicionales.</v>
      </c>
      <c r="J8" s="222"/>
      <c r="K8" s="222"/>
      <c r="L8" s="222"/>
      <c r="M8" s="223"/>
    </row>
    <row r="9" spans="1:13" ht="23.1" customHeight="1">
      <c r="A9" s="46" t="str">
        <f>EV.RIESGO!A9</f>
        <v>Nombre del proyecto</v>
      </c>
      <c r="B9" s="213" t="str">
        <f>EV.RIESGO!B9</f>
        <v>Dale Onboarding Innovador</v>
      </c>
      <c r="C9" s="214"/>
      <c r="D9" s="215"/>
      <c r="E9" s="47"/>
      <c r="F9" s="48" t="str">
        <f>EV.RIESGO!F9</f>
        <v>Prioridad:</v>
      </c>
      <c r="G9" s="220" t="str">
        <f>EV.RIESGO!G9</f>
        <v>Media</v>
      </c>
      <c r="H9" s="220"/>
      <c r="I9" s="224"/>
      <c r="J9" s="224"/>
      <c r="K9" s="224"/>
      <c r="L9" s="224"/>
      <c r="M9" s="224"/>
    </row>
    <row r="10" spans="1:13" ht="23.1" customHeight="1">
      <c r="A10" s="46" t="str">
        <f>EV.RIESGO!A10</f>
        <v>Plataformas impactadas:</v>
      </c>
      <c r="B10" s="213" t="str">
        <f>EV.RIESGO!B10</f>
        <v xml:space="preserve"> Plataforma Dale y componentes PF</v>
      </c>
      <c r="C10" s="214"/>
      <c r="D10" s="215"/>
      <c r="E10" s="49"/>
      <c r="F10" s="48" t="str">
        <f>EV.RIESGO!F10</f>
        <v>Riesgo:</v>
      </c>
      <c r="G10" s="220" t="str">
        <f>EV.RIESGO!G10</f>
        <v>Medio</v>
      </c>
      <c r="H10" s="220"/>
      <c r="I10" s="224"/>
      <c r="J10" s="224"/>
      <c r="K10" s="224"/>
      <c r="L10" s="224"/>
      <c r="M10" s="224"/>
    </row>
    <row r="11" spans="1:13" ht="23.1" customHeight="1">
      <c r="A11" s="216" t="str">
        <f>EV.RIESGO!A11</f>
        <v>Líder del Cambio:</v>
      </c>
      <c r="B11" s="50" t="str">
        <f>EV.RIESGO!B11</f>
        <v>Arquitecto</v>
      </c>
      <c r="C11" s="219" t="str">
        <f>EV.RIESGO!C11</f>
        <v>N/A</v>
      </c>
      <c r="D11" s="219"/>
      <c r="E11" s="49"/>
      <c r="F11" s="48" t="str">
        <f>EV.RIESGO!F11</f>
        <v>Afecta la operación:</v>
      </c>
      <c r="G11" s="220" t="str">
        <f>EV.RIESGO!G11</f>
        <v>No</v>
      </c>
      <c r="H11" s="220"/>
      <c r="I11" s="224"/>
      <c r="J11" s="224"/>
      <c r="K11" s="224"/>
      <c r="L11" s="224"/>
      <c r="M11" s="224"/>
    </row>
    <row r="12" spans="1:13" ht="23.1" customHeight="1">
      <c r="A12" s="217"/>
      <c r="B12" s="50" t="str">
        <f>EV.RIESGO!B12</f>
        <v>Project Manager</v>
      </c>
      <c r="C12" s="219" t="str">
        <f>EV.RIESGO!C12</f>
        <v>N/A</v>
      </c>
      <c r="D12" s="219"/>
      <c r="E12" s="49"/>
      <c r="F12" s="51"/>
      <c r="G12" s="52"/>
      <c r="H12" s="52"/>
      <c r="I12" s="224"/>
      <c r="J12" s="224"/>
      <c r="K12" s="224"/>
      <c r="L12" s="224"/>
      <c r="M12" s="224"/>
    </row>
    <row r="13" spans="1:13" ht="23.1" customHeight="1">
      <c r="A13" s="218"/>
      <c r="B13" s="50" t="str">
        <f>EV.RIESGO!B13</f>
        <v>Líder Técnico Dev</v>
      </c>
      <c r="C13" s="219" t="str">
        <f>EV.RIESGO!C13</f>
        <v>GESTION DE AMBIENTES</v>
      </c>
      <c r="D13" s="219"/>
      <c r="E13" s="49"/>
      <c r="F13" s="51"/>
      <c r="G13" s="225"/>
      <c r="H13" s="225"/>
      <c r="I13" s="224"/>
      <c r="J13" s="224"/>
      <c r="K13" s="224"/>
      <c r="L13" s="224"/>
      <c r="M13" s="224"/>
    </row>
    <row r="14" spans="1:13" ht="23.1" customHeight="1">
      <c r="A14" s="46" t="str">
        <f>EV.RIESGO!A14</f>
        <v>Ambiente:</v>
      </c>
      <c r="B14" s="220" t="str">
        <f>EV.RIESGO!B14</f>
        <v>QA3</v>
      </c>
      <c r="C14" s="220"/>
      <c r="D14" s="220"/>
      <c r="E14" s="49"/>
      <c r="F14" s="51"/>
      <c r="G14" s="52"/>
      <c r="H14" s="52"/>
      <c r="I14" s="8"/>
      <c r="J14" s="8"/>
      <c r="K14" s="8"/>
      <c r="L14" s="8"/>
      <c r="M14" s="8"/>
    </row>
    <row r="15" spans="1:13" ht="8.1" customHeight="1"/>
    <row r="16" spans="1:13" s="4" customFormat="1">
      <c r="A16" s="9" t="s">
        <v>124</v>
      </c>
      <c r="B16" s="227" t="s">
        <v>125</v>
      </c>
      <c r="C16" s="228"/>
      <c r="D16" s="228"/>
      <c r="E16" s="228"/>
      <c r="F16" s="228"/>
      <c r="G16" s="228"/>
      <c r="H16" s="229"/>
      <c r="I16" s="9" t="s">
        <v>44</v>
      </c>
      <c r="J16" s="9" t="s">
        <v>126</v>
      </c>
      <c r="K16" s="227" t="s">
        <v>70</v>
      </c>
      <c r="L16" s="228"/>
      <c r="M16" s="228"/>
    </row>
    <row r="17" spans="1:13" ht="20.85" customHeight="1">
      <c r="A17" s="2">
        <v>1</v>
      </c>
      <c r="B17" s="210"/>
      <c r="C17" s="211"/>
      <c r="D17" s="211"/>
      <c r="E17" s="211"/>
      <c r="F17" s="211"/>
      <c r="G17" s="211"/>
      <c r="H17" s="212"/>
      <c r="I17" s="64" t="s">
        <v>47</v>
      </c>
      <c r="J17" s="5"/>
      <c r="K17" s="210"/>
      <c r="L17" s="211"/>
      <c r="M17" s="212"/>
    </row>
    <row r="18" spans="1:13" ht="20.85" customHeight="1">
      <c r="A18" s="2">
        <v>2</v>
      </c>
      <c r="B18" s="210"/>
      <c r="C18" s="211"/>
      <c r="D18" s="211"/>
      <c r="E18" s="211"/>
      <c r="F18" s="211"/>
      <c r="G18" s="211"/>
      <c r="H18" s="212"/>
      <c r="I18" s="64" t="s">
        <v>47</v>
      </c>
      <c r="J18" s="5"/>
      <c r="K18" s="210"/>
      <c r="L18" s="211"/>
      <c r="M18" s="212"/>
    </row>
    <row r="19" spans="1:13" ht="20.85" customHeight="1">
      <c r="A19" s="2">
        <v>3</v>
      </c>
      <c r="B19" s="210"/>
      <c r="C19" s="211"/>
      <c r="D19" s="211"/>
      <c r="E19" s="211"/>
      <c r="F19" s="211"/>
      <c r="G19" s="211"/>
      <c r="H19" s="212"/>
      <c r="I19" s="64" t="s">
        <v>47</v>
      </c>
      <c r="J19" s="5"/>
      <c r="K19" s="210"/>
      <c r="L19" s="211"/>
      <c r="M19" s="212"/>
    </row>
    <row r="20" spans="1:13" ht="20.85" customHeight="1">
      <c r="A20" s="2">
        <v>4</v>
      </c>
      <c r="B20" s="210"/>
      <c r="C20" s="211"/>
      <c r="D20" s="211"/>
      <c r="E20" s="211"/>
      <c r="F20" s="211"/>
      <c r="G20" s="211"/>
      <c r="H20" s="212"/>
      <c r="I20" s="64" t="s">
        <v>47</v>
      </c>
      <c r="J20" s="5"/>
      <c r="K20" s="210"/>
      <c r="L20" s="211"/>
      <c r="M20" s="212"/>
    </row>
    <row r="21" spans="1:13" ht="20.85" customHeight="1">
      <c r="A21" s="2">
        <v>5</v>
      </c>
      <c r="B21" s="210"/>
      <c r="C21" s="211"/>
      <c r="D21" s="211"/>
      <c r="E21" s="211"/>
      <c r="F21" s="211"/>
      <c r="G21" s="211"/>
      <c r="H21" s="212"/>
      <c r="I21" s="64" t="s">
        <v>47</v>
      </c>
      <c r="J21" s="5"/>
      <c r="K21" s="210"/>
      <c r="L21" s="211"/>
      <c r="M21" s="212"/>
    </row>
    <row r="22" spans="1:13" ht="20.85" customHeight="1">
      <c r="A22" s="2">
        <v>6</v>
      </c>
      <c r="B22" s="210"/>
      <c r="C22" s="211"/>
      <c r="D22" s="211"/>
      <c r="E22" s="211"/>
      <c r="F22" s="211"/>
      <c r="G22" s="211"/>
      <c r="H22" s="212"/>
      <c r="I22" s="64" t="s">
        <v>47</v>
      </c>
      <c r="J22" s="5"/>
      <c r="K22" s="210"/>
      <c r="L22" s="211"/>
      <c r="M22" s="212"/>
    </row>
    <row r="23" spans="1:13" ht="20.85" customHeight="1">
      <c r="A23" s="2">
        <v>7</v>
      </c>
      <c r="B23" s="210"/>
      <c r="C23" s="211"/>
      <c r="D23" s="211"/>
      <c r="E23" s="211"/>
      <c r="F23" s="211"/>
      <c r="G23" s="211"/>
      <c r="H23" s="212"/>
      <c r="I23" s="64" t="s">
        <v>47</v>
      </c>
      <c r="J23" s="5"/>
      <c r="K23" s="210"/>
      <c r="L23" s="211"/>
      <c r="M23" s="212"/>
    </row>
    <row r="24" spans="1:13" ht="20.85" customHeight="1">
      <c r="A24" s="2">
        <v>8</v>
      </c>
      <c r="B24" s="210"/>
      <c r="C24" s="211"/>
      <c r="D24" s="211"/>
      <c r="E24" s="211"/>
      <c r="F24" s="211"/>
      <c r="G24" s="211"/>
      <c r="H24" s="212"/>
      <c r="I24" s="64" t="s">
        <v>47</v>
      </c>
      <c r="J24" s="5"/>
      <c r="K24" s="210"/>
      <c r="L24" s="211"/>
      <c r="M24" s="212"/>
    </row>
    <row r="25" spans="1:13" ht="20.85" customHeight="1">
      <c r="A25" s="2">
        <v>9</v>
      </c>
      <c r="B25" s="210"/>
      <c r="C25" s="211"/>
      <c r="D25" s="211"/>
      <c r="E25" s="211"/>
      <c r="F25" s="211"/>
      <c r="G25" s="211"/>
      <c r="H25" s="212"/>
      <c r="I25" s="64" t="s">
        <v>47</v>
      </c>
      <c r="J25" s="5"/>
      <c r="K25" s="210"/>
      <c r="L25" s="211"/>
      <c r="M25" s="212"/>
    </row>
    <row r="26" spans="1:13" ht="20.85" customHeight="1">
      <c r="A26" s="2">
        <v>10</v>
      </c>
      <c r="B26" s="210"/>
      <c r="C26" s="211"/>
      <c r="D26" s="211"/>
      <c r="E26" s="211"/>
      <c r="F26" s="211"/>
      <c r="G26" s="211"/>
      <c r="H26" s="212"/>
      <c r="I26" s="64" t="s">
        <v>47</v>
      </c>
      <c r="J26" s="5"/>
      <c r="K26" s="210"/>
      <c r="L26" s="211"/>
      <c r="M26" s="212"/>
    </row>
    <row r="27" spans="1:13">
      <c r="A27" s="4"/>
      <c r="L27" s="226"/>
      <c r="M27" s="226"/>
    </row>
  </sheetData>
  <sheetProtection algorithmName="SHA-512" hashValue="ftz+aPqm2L63xUysAzBYv43gP3zwp2AYWMs1mdWLbdLblMx2qYOE7QvAOiQqMUqiEe54xrjU1uFUvLG/04tQqA==" saltValue="pPQSR91g3HzGTZHGxNBstw==" spinCount="100000" sheet="1" formatCells="0" formatColumns="0" formatRows="0" insertColumns="0" insertRows="0" insertHyperlinks="0" deleteColumns="0" deleteRows="0" selectLockedCells="1" sort="0" autoFilter="0" pivotTables="0"/>
  <mergeCells count="38">
    <mergeCell ref="B16:H16"/>
    <mergeCell ref="K16:M16"/>
    <mergeCell ref="K17:M17"/>
    <mergeCell ref="K18:M18"/>
    <mergeCell ref="K19:M19"/>
    <mergeCell ref="B17:H17"/>
    <mergeCell ref="B18:H18"/>
    <mergeCell ref="B19:H19"/>
    <mergeCell ref="K20:M20"/>
    <mergeCell ref="L27:M27"/>
    <mergeCell ref="K25:M25"/>
    <mergeCell ref="K26:M26"/>
    <mergeCell ref="K23:M23"/>
    <mergeCell ref="K24:M24"/>
    <mergeCell ref="K21:M21"/>
    <mergeCell ref="K22:M22"/>
    <mergeCell ref="B10:D10"/>
    <mergeCell ref="A11:A13"/>
    <mergeCell ref="C13:D13"/>
    <mergeCell ref="B14:D14"/>
    <mergeCell ref="I8:M8"/>
    <mergeCell ref="I9:M13"/>
    <mergeCell ref="G8:H8"/>
    <mergeCell ref="B9:D9"/>
    <mergeCell ref="G9:H9"/>
    <mergeCell ref="G10:H10"/>
    <mergeCell ref="G11:H11"/>
    <mergeCell ref="C11:D11"/>
    <mergeCell ref="C12:D12"/>
    <mergeCell ref="G13:H13"/>
    <mergeCell ref="B8:D8"/>
    <mergeCell ref="B25:H25"/>
    <mergeCell ref="B26:H26"/>
    <mergeCell ref="B20:H20"/>
    <mergeCell ref="B21:H21"/>
    <mergeCell ref="B22:H22"/>
    <mergeCell ref="B23:H23"/>
    <mergeCell ref="B24:H24"/>
  </mergeCells>
  <dataValidations count="5">
    <dataValidation type="list" allowBlank="1" showInputMessage="1" showErrorMessage="1" sqref="B14:D14" xr:uid="{0E02188E-DB81-4F69-B4E5-DBE216ED361A}">
      <formula1>"Selecciona,PROD,QA1,QA2,QA3"</formula1>
    </dataValidation>
    <dataValidation type="list" allowBlank="1" showInputMessage="1" showErrorMessage="1" sqref="G8:H11" xr:uid="{698F2B6A-2FAA-4D5A-A26B-DC279CA8B609}">
      <formula1>"Selecciona,Normal,Estandar,Emergente"</formula1>
    </dataValidation>
    <dataValidation type="list" allowBlank="1" showInputMessage="1" showErrorMessage="1" sqref="G12:H12" xr:uid="{3CAD60ED-1530-4FFE-AF74-3B19E36AC45D}">
      <formula1>"Selecciona,Alto,Medio,Bajo"</formula1>
    </dataValidation>
    <dataValidation type="list" allowBlank="1" showInputMessage="1" showErrorMessage="1" sqref="G13:H14" xr:uid="{F3651E87-02A8-4094-A2EA-412D48112700}">
      <formula1>"Selecciona,Si,No"</formula1>
    </dataValidation>
    <dataValidation type="list" allowBlank="1" showInputMessage="1" showErrorMessage="1" sqref="I18:I26" xr:uid="{C9986A4F-E336-4A20-9481-A03C042246CD}">
      <formula1>"Selecciona, DBA, Cloud, Ciber, Devops, SAP,  IAM, QA, APP, Desarrollo"</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DCD7693-63AC-4E5B-88D8-F4C5A54682A2}">
          <x14:formula1>
            <xm:f>RFC!$F$19:$F$27</xm:f>
          </x14:formula1>
          <xm:sqref>I17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06275-8B06-43D3-8FFD-17C7A28FAD2C}">
  <dimension ref="A8:AZ27"/>
  <sheetViews>
    <sheetView showGridLines="0" tabSelected="1" topLeftCell="A14" zoomScale="110" zoomScaleNormal="110" zoomScalePageLayoutView="85" workbookViewId="0">
      <pane xSplit="1" topLeftCell="B1" activePane="topRight" state="frozen"/>
      <selection pane="topRight" activeCell="AF1" sqref="AF1:AH1048576"/>
    </sheetView>
  </sheetViews>
  <sheetFormatPr defaultColWidth="10.85546875" defaultRowHeight="15" customHeight="1"/>
  <cols>
    <col min="1" max="1" width="29.42578125" style="1" customWidth="1"/>
    <col min="2" max="2" width="22.42578125" style="1" customWidth="1"/>
    <col min="3" max="3" width="10.85546875" style="1"/>
    <col min="4" max="4" width="17.42578125" style="1" customWidth="1"/>
    <col min="5" max="6" width="22.140625" style="1" customWidth="1"/>
    <col min="7" max="7" width="15" style="1" customWidth="1"/>
    <col min="8" max="8" width="10.42578125" style="1" customWidth="1"/>
    <col min="9" max="9" width="26.42578125" style="1" customWidth="1"/>
    <col min="10" max="10" width="16.42578125" style="1" customWidth="1"/>
    <col min="11" max="11" width="10.42578125" style="1" customWidth="1"/>
    <col min="12" max="12" width="11.85546875" style="1" customWidth="1"/>
    <col min="13" max="13" width="29.85546875" style="1" customWidth="1"/>
    <col min="14" max="15" width="10.85546875" style="1" customWidth="1"/>
    <col min="16" max="16" width="30.42578125" style="1" customWidth="1"/>
    <col min="17" max="18" width="0" style="1" hidden="1" customWidth="1"/>
    <col min="19" max="19" width="31.42578125" style="1" hidden="1" customWidth="1"/>
    <col min="20" max="21" width="10.85546875" style="1"/>
    <col min="22" max="22" width="23.42578125" style="1" customWidth="1"/>
    <col min="23" max="23" width="14.42578125" style="1" customWidth="1"/>
    <col min="24" max="24" width="10.85546875" style="1"/>
    <col min="25" max="25" width="26" style="1" customWidth="1"/>
    <col min="26" max="27" width="10.85546875" style="1"/>
    <col min="28" max="28" width="26.42578125" style="1" customWidth="1"/>
    <col min="29" max="30" width="10.85546875" style="1"/>
    <col min="31" max="31" width="23.140625" style="1" customWidth="1"/>
    <col min="32" max="33" width="0" style="1" hidden="1" customWidth="1"/>
    <col min="34" max="34" width="20.7109375" style="1" hidden="1" customWidth="1"/>
    <col min="35" max="36" width="10.85546875" style="1"/>
    <col min="37" max="37" width="23.42578125" style="1" customWidth="1"/>
    <col min="38" max="39" width="10.85546875" style="1"/>
    <col min="40" max="40" width="23.28515625" style="1" customWidth="1"/>
    <col min="41" max="42" width="10.85546875" style="1"/>
    <col min="43" max="43" width="25.28515625" style="1" customWidth="1"/>
    <col min="44" max="45" width="10.85546875" style="1"/>
    <col min="46" max="46" width="22.28515625" style="1" customWidth="1"/>
    <col min="47" max="48" width="10.85546875" style="1"/>
    <col min="49" max="49" width="21.7109375" style="1" customWidth="1"/>
    <col min="50" max="51" width="10.85546875" style="1"/>
    <col min="52" max="52" width="23.140625" style="1" customWidth="1"/>
    <col min="53" max="54" width="10.85546875" style="1"/>
    <col min="55" max="55" width="20" style="1" customWidth="1"/>
    <col min="56" max="16384" width="10.85546875" style="1"/>
  </cols>
  <sheetData>
    <row r="8" spans="1:52" ht="23.1" customHeight="1">
      <c r="A8" s="46" t="str">
        <f>EV.RIESGO!A8</f>
        <v>ID del proyecto:</v>
      </c>
      <c r="B8" s="213" t="str">
        <f>EV.RIESGO!B8</f>
        <v>ris001-pe26</v>
      </c>
      <c r="C8" s="214"/>
      <c r="D8" s="215"/>
      <c r="E8" s="76"/>
      <c r="F8" s="76"/>
      <c r="G8" s="76"/>
      <c r="H8" s="47"/>
      <c r="I8" s="48" t="str">
        <f>EV.RIESGO!F8</f>
        <v>Tipo de Cambio:</v>
      </c>
      <c r="J8" s="220" t="str">
        <f>EV.RIESGO!G8</f>
        <v>Normal</v>
      </c>
      <c r="K8" s="220"/>
      <c r="L8" s="281" t="str">
        <f>EV.RIESGO!I8</f>
        <v>Comentarios adicionales.</v>
      </c>
      <c r="M8" s="282"/>
      <c r="N8" s="282"/>
      <c r="O8" s="282"/>
      <c r="P8" s="283"/>
    </row>
    <row r="9" spans="1:52" ht="23.1" customHeight="1">
      <c r="A9" s="46" t="str">
        <f>EV.RIESGO!A9</f>
        <v>Nombre del proyecto</v>
      </c>
      <c r="B9" s="213" t="str">
        <f>EV.RIESGO!B9</f>
        <v>Dale Onboarding Innovador</v>
      </c>
      <c r="C9" s="214"/>
      <c r="D9" s="215"/>
      <c r="E9" s="76"/>
      <c r="F9" s="76"/>
      <c r="G9" s="76"/>
      <c r="H9" s="47"/>
      <c r="I9" s="48" t="str">
        <f>EV.RIESGO!F9</f>
        <v>Prioridad:</v>
      </c>
      <c r="J9" s="220" t="str">
        <f>EV.RIESGO!G9</f>
        <v>Media</v>
      </c>
      <c r="K9" s="220"/>
      <c r="L9" s="224"/>
      <c r="M9" s="224"/>
      <c r="N9" s="224"/>
      <c r="O9" s="224"/>
      <c r="P9" s="224"/>
    </row>
    <row r="10" spans="1:52" ht="23.1" customHeight="1">
      <c r="A10" s="46" t="str">
        <f>EV.RIESGO!A10</f>
        <v>Plataformas impactadas:</v>
      </c>
      <c r="B10" s="213" t="str">
        <f>EV.RIESGO!B10</f>
        <v xml:space="preserve"> Plataforma Dale y componentes PF</v>
      </c>
      <c r="C10" s="214"/>
      <c r="D10" s="215"/>
      <c r="E10" s="76"/>
      <c r="F10" s="76"/>
      <c r="G10" s="76"/>
      <c r="H10" s="49"/>
      <c r="I10" s="48" t="str">
        <f>EV.RIESGO!F10</f>
        <v>Riesgo:</v>
      </c>
      <c r="J10" s="220" t="str">
        <f>EV.RIESGO!G10</f>
        <v>Medio</v>
      </c>
      <c r="K10" s="220"/>
      <c r="L10" s="224"/>
      <c r="M10" s="224"/>
      <c r="N10" s="224"/>
      <c r="O10" s="224"/>
      <c r="P10" s="224"/>
    </row>
    <row r="11" spans="1:52" ht="23.1" customHeight="1">
      <c r="A11" s="216" t="str">
        <f>EV.RIESGO!A11</f>
        <v>Líder del Cambio:</v>
      </c>
      <c r="B11" s="50" t="str">
        <f>EV.RIESGO!B11</f>
        <v>Arquitecto</v>
      </c>
      <c r="C11" s="219" t="str">
        <f>EV.RIESGO!C11</f>
        <v>N/A</v>
      </c>
      <c r="D11" s="219"/>
      <c r="E11" s="76"/>
      <c r="F11" s="76"/>
      <c r="G11" s="76"/>
      <c r="H11" s="49"/>
      <c r="I11" s="48" t="str">
        <f>EV.RIESGO!F11</f>
        <v>Afecta la operación:</v>
      </c>
      <c r="J11" s="220" t="str">
        <f>EV.RIESGO!G11</f>
        <v>No</v>
      </c>
      <c r="K11" s="220"/>
      <c r="L11" s="224"/>
      <c r="M11" s="224"/>
      <c r="N11" s="224"/>
      <c r="O11" s="224"/>
      <c r="P11" s="224"/>
    </row>
    <row r="12" spans="1:52" ht="23.1" customHeight="1">
      <c r="A12" s="217"/>
      <c r="B12" s="50" t="str">
        <f>EV.RIESGO!B12</f>
        <v>Project Manager</v>
      </c>
      <c r="C12" s="219" t="str">
        <f>EV.RIESGO!C12</f>
        <v>N/A</v>
      </c>
      <c r="D12" s="219"/>
      <c r="E12" s="76"/>
      <c r="F12" s="76"/>
      <c r="G12" s="76"/>
      <c r="H12" s="49"/>
      <c r="I12" s="51"/>
      <c r="J12" s="52"/>
      <c r="K12" s="52"/>
      <c r="L12" s="224"/>
      <c r="M12" s="224"/>
      <c r="N12" s="224"/>
      <c r="O12" s="224"/>
      <c r="P12" s="224"/>
    </row>
    <row r="13" spans="1:52" ht="23.1" customHeight="1">
      <c r="A13" s="218"/>
      <c r="B13" s="50" t="str">
        <f>EV.RIESGO!B13</f>
        <v>Líder Técnico Dev</v>
      </c>
      <c r="C13" s="219" t="str">
        <f>EV.RIESGO!C13</f>
        <v>GESTION DE AMBIENTES</v>
      </c>
      <c r="D13" s="219"/>
      <c r="E13" s="76"/>
      <c r="F13" s="76"/>
      <c r="G13" s="76"/>
      <c r="H13" s="49"/>
      <c r="I13" s="51"/>
      <c r="J13" s="225"/>
      <c r="K13" s="225"/>
      <c r="L13" s="224"/>
      <c r="M13" s="224"/>
      <c r="N13" s="224"/>
      <c r="O13" s="224"/>
      <c r="P13" s="224"/>
    </row>
    <row r="14" spans="1:52" ht="23.1" customHeight="1">
      <c r="A14" s="46" t="str">
        <f>EV.RIESGO!A14</f>
        <v>Ambiente:</v>
      </c>
      <c r="B14" s="220" t="str">
        <f>EV.RIESGO!B14</f>
        <v>QA3</v>
      </c>
      <c r="C14" s="220"/>
      <c r="D14" s="220"/>
      <c r="E14" s="52"/>
      <c r="F14" s="52"/>
      <c r="G14" s="52"/>
      <c r="H14" s="49"/>
      <c r="I14" s="51"/>
      <c r="J14" s="52"/>
      <c r="K14" s="52"/>
      <c r="L14" s="8"/>
      <c r="M14" s="8"/>
      <c r="N14" s="8"/>
      <c r="O14" s="8"/>
      <c r="P14" s="8"/>
    </row>
    <row r="15" spans="1:52" ht="8.1" customHeight="1"/>
    <row r="16" spans="1:52" ht="19.5" customHeight="1">
      <c r="A16" s="10"/>
      <c r="B16" s="221">
        <v>1</v>
      </c>
      <c r="C16" s="222"/>
      <c r="D16" s="223"/>
      <c r="E16" s="221">
        <v>2</v>
      </c>
      <c r="F16" s="222"/>
      <c r="G16" s="223"/>
      <c r="H16" s="221">
        <v>3</v>
      </c>
      <c r="I16" s="222"/>
      <c r="J16" s="223"/>
      <c r="K16" s="221">
        <v>4</v>
      </c>
      <c r="L16" s="222"/>
      <c r="M16" s="223"/>
      <c r="N16" s="221">
        <v>5</v>
      </c>
      <c r="O16" s="222"/>
      <c r="P16" s="223"/>
      <c r="Q16" s="221">
        <v>6</v>
      </c>
      <c r="R16" s="222"/>
      <c r="S16" s="223"/>
      <c r="T16" s="221">
        <v>7</v>
      </c>
      <c r="U16" s="222"/>
      <c r="V16" s="223"/>
      <c r="W16" s="221">
        <v>8</v>
      </c>
      <c r="X16" s="222"/>
      <c r="Y16" s="223"/>
      <c r="Z16" s="221">
        <v>9</v>
      </c>
      <c r="AA16" s="222"/>
      <c r="AB16" s="223"/>
      <c r="AC16" s="221">
        <v>10</v>
      </c>
      <c r="AD16" s="222"/>
      <c r="AE16" s="223"/>
      <c r="AF16" s="221">
        <v>11</v>
      </c>
      <c r="AG16" s="222"/>
      <c r="AH16" s="223"/>
      <c r="AI16" s="221">
        <v>12</v>
      </c>
      <c r="AJ16" s="222"/>
      <c r="AK16" s="223"/>
      <c r="AL16" s="221">
        <v>13</v>
      </c>
      <c r="AM16" s="222"/>
      <c r="AN16" s="223"/>
      <c r="AO16" s="221">
        <v>14</v>
      </c>
      <c r="AP16" s="222"/>
      <c r="AQ16" s="223"/>
      <c r="AR16" s="221"/>
      <c r="AS16" s="222"/>
      <c r="AT16" s="223"/>
      <c r="AU16" s="221"/>
      <c r="AV16" s="222"/>
      <c r="AW16" s="223"/>
      <c r="AX16" s="221"/>
      <c r="AY16" s="222"/>
      <c r="AZ16" s="223"/>
    </row>
    <row r="17" spans="1:52" ht="30.6" customHeight="1">
      <c r="A17" s="10" t="s">
        <v>127</v>
      </c>
      <c r="B17" s="230" t="s">
        <v>128</v>
      </c>
      <c r="C17" s="231"/>
      <c r="D17" s="232"/>
      <c r="E17" s="230" t="s">
        <v>128</v>
      </c>
      <c r="F17" s="231"/>
      <c r="G17" s="232"/>
      <c r="H17" s="230" t="s">
        <v>128</v>
      </c>
      <c r="I17" s="231"/>
      <c r="J17" s="232"/>
      <c r="K17" s="230" t="s">
        <v>128</v>
      </c>
      <c r="L17" s="231"/>
      <c r="M17" s="232"/>
      <c r="N17" s="230" t="s">
        <v>128</v>
      </c>
      <c r="O17" s="231"/>
      <c r="P17" s="232"/>
      <c r="Q17" s="277" t="s">
        <v>128</v>
      </c>
      <c r="R17" s="278"/>
      <c r="S17" s="279"/>
      <c r="T17" s="230" t="s">
        <v>129</v>
      </c>
      <c r="U17" s="231"/>
      <c r="V17" s="280"/>
      <c r="W17" s="230" t="s">
        <v>128</v>
      </c>
      <c r="X17" s="231"/>
      <c r="Y17" s="232"/>
      <c r="Z17" s="230" t="s">
        <v>128</v>
      </c>
      <c r="AA17" s="231"/>
      <c r="AB17" s="232"/>
      <c r="AC17" s="230" t="s">
        <v>129</v>
      </c>
      <c r="AD17" s="231"/>
      <c r="AE17" s="280"/>
      <c r="AF17" s="277" t="s">
        <v>128</v>
      </c>
      <c r="AG17" s="278"/>
      <c r="AH17" s="279"/>
      <c r="AI17" s="230" t="s">
        <v>128</v>
      </c>
      <c r="AJ17" s="231"/>
      <c r="AK17" s="232"/>
      <c r="AL17" s="230" t="s">
        <v>128</v>
      </c>
      <c r="AM17" s="231"/>
      <c r="AN17" s="232"/>
      <c r="AO17" s="230" t="s">
        <v>128</v>
      </c>
      <c r="AP17" s="231"/>
      <c r="AQ17" s="232"/>
      <c r="AR17" s="230" t="s">
        <v>128</v>
      </c>
      <c r="AS17" s="231"/>
      <c r="AT17" s="232"/>
      <c r="AU17" s="230" t="s">
        <v>128</v>
      </c>
      <c r="AV17" s="231"/>
      <c r="AW17" s="232"/>
      <c r="AX17" s="230" t="s">
        <v>128</v>
      </c>
      <c r="AY17" s="231"/>
      <c r="AZ17" s="232"/>
    </row>
    <row r="18" spans="1:52" ht="30.6" customHeight="1">
      <c r="A18" s="10" t="s">
        <v>130</v>
      </c>
      <c r="B18" s="264" t="s">
        <v>131</v>
      </c>
      <c r="C18" s="265"/>
      <c r="D18" s="266"/>
      <c r="E18" s="264" t="s">
        <v>132</v>
      </c>
      <c r="F18" s="265"/>
      <c r="G18" s="266"/>
      <c r="H18" s="264" t="s">
        <v>132</v>
      </c>
      <c r="I18" s="265"/>
      <c r="J18" s="266"/>
      <c r="K18" s="264" t="s">
        <v>131</v>
      </c>
      <c r="L18" s="265"/>
      <c r="M18" s="266"/>
      <c r="N18" s="264" t="s">
        <v>131</v>
      </c>
      <c r="O18" s="265"/>
      <c r="P18" s="266"/>
      <c r="Q18" s="264" t="s">
        <v>131</v>
      </c>
      <c r="R18" s="265"/>
      <c r="S18" s="266"/>
      <c r="T18" s="264" t="s">
        <v>131</v>
      </c>
      <c r="U18" s="265"/>
      <c r="V18" s="266"/>
      <c r="W18" s="264" t="s">
        <v>131</v>
      </c>
      <c r="X18" s="265"/>
      <c r="Y18" s="266"/>
      <c r="Z18" s="264" t="s">
        <v>131</v>
      </c>
      <c r="AA18" s="265"/>
      <c r="AB18" s="266"/>
      <c r="AC18" s="264" t="s">
        <v>131</v>
      </c>
      <c r="AD18" s="265"/>
      <c r="AE18" s="266"/>
      <c r="AF18" s="264" t="s">
        <v>131</v>
      </c>
      <c r="AG18" s="265"/>
      <c r="AH18" s="266"/>
      <c r="AI18" s="264" t="s">
        <v>131</v>
      </c>
      <c r="AJ18" s="265"/>
      <c r="AK18" s="266"/>
      <c r="AL18" s="264" t="s">
        <v>131</v>
      </c>
      <c r="AM18" s="265"/>
      <c r="AN18" s="266"/>
      <c r="AO18" s="264" t="s">
        <v>131</v>
      </c>
      <c r="AP18" s="265"/>
      <c r="AQ18" s="266"/>
      <c r="AR18" s="233"/>
      <c r="AS18" s="234"/>
      <c r="AT18" s="235"/>
      <c r="AU18" s="233"/>
      <c r="AV18" s="234"/>
      <c r="AW18" s="235"/>
      <c r="AX18" s="233"/>
      <c r="AY18" s="234"/>
      <c r="AZ18" s="235"/>
    </row>
    <row r="19" spans="1:52" ht="30" customHeight="1">
      <c r="A19" s="10" t="s">
        <v>133</v>
      </c>
      <c r="B19" s="267" t="s">
        <v>134</v>
      </c>
      <c r="C19" s="268"/>
      <c r="D19" s="269"/>
      <c r="E19" s="270" t="s">
        <v>135</v>
      </c>
      <c r="F19" s="271"/>
      <c r="G19" s="272"/>
      <c r="H19" s="270" t="s">
        <v>136</v>
      </c>
      <c r="I19" s="271"/>
      <c r="J19" s="272"/>
      <c r="K19" s="249" t="s">
        <v>137</v>
      </c>
      <c r="L19" s="268"/>
      <c r="M19" s="269"/>
      <c r="N19" s="270" t="s">
        <v>138</v>
      </c>
      <c r="O19" s="271"/>
      <c r="P19" s="272"/>
      <c r="Q19" s="249" t="s">
        <v>139</v>
      </c>
      <c r="R19" s="268"/>
      <c r="S19" s="269"/>
      <c r="T19" s="267" t="s">
        <v>140</v>
      </c>
      <c r="U19" s="268"/>
      <c r="V19" s="269"/>
      <c r="W19" s="249" t="s">
        <v>141</v>
      </c>
      <c r="X19" s="268"/>
      <c r="Y19" s="269"/>
      <c r="Z19" s="249" t="s">
        <v>142</v>
      </c>
      <c r="AA19" s="268"/>
      <c r="AB19" s="269"/>
      <c r="AC19" s="249" t="s">
        <v>143</v>
      </c>
      <c r="AD19" s="268"/>
      <c r="AE19" s="269"/>
      <c r="AF19" s="249" t="s">
        <v>144</v>
      </c>
      <c r="AG19" s="268"/>
      <c r="AH19" s="269"/>
      <c r="AI19" s="249" t="s">
        <v>145</v>
      </c>
      <c r="AJ19" s="268"/>
      <c r="AK19" s="269"/>
      <c r="AL19" s="249" t="s">
        <v>146</v>
      </c>
      <c r="AM19" s="268"/>
      <c r="AN19" s="269"/>
      <c r="AO19" s="249" t="s">
        <v>147</v>
      </c>
      <c r="AP19" s="268"/>
      <c r="AQ19" s="269"/>
      <c r="AR19" s="236"/>
      <c r="AS19" s="237"/>
      <c r="AT19" s="238"/>
      <c r="AU19" s="273"/>
      <c r="AV19" s="274"/>
      <c r="AW19" s="275"/>
      <c r="AX19" s="249"/>
      <c r="AY19" s="250"/>
      <c r="AZ19" s="251"/>
    </row>
    <row r="20" spans="1:52" ht="30.6" customHeight="1">
      <c r="A20" s="10" t="s">
        <v>148</v>
      </c>
      <c r="B20" s="258" t="s">
        <v>149</v>
      </c>
      <c r="C20" s="259"/>
      <c r="D20" s="260"/>
      <c r="E20" s="258" t="s">
        <v>150</v>
      </c>
      <c r="F20" s="259"/>
      <c r="G20" s="260"/>
      <c r="H20" s="258" t="s">
        <v>151</v>
      </c>
      <c r="I20" s="259"/>
      <c r="J20" s="260"/>
      <c r="K20" s="258" t="s">
        <v>152</v>
      </c>
      <c r="L20" s="259"/>
      <c r="M20" s="260"/>
      <c r="N20" s="258" t="s">
        <v>153</v>
      </c>
      <c r="O20" s="259"/>
      <c r="P20" s="260"/>
      <c r="Q20" s="258" t="s">
        <v>154</v>
      </c>
      <c r="R20" s="259"/>
      <c r="S20" s="260"/>
      <c r="T20" s="258" t="s">
        <v>150</v>
      </c>
      <c r="U20" s="259"/>
      <c r="V20" s="260"/>
      <c r="W20" s="258" t="s">
        <v>155</v>
      </c>
      <c r="X20" s="259"/>
      <c r="Y20" s="260"/>
      <c r="Z20" s="258" t="s">
        <v>156</v>
      </c>
      <c r="AA20" s="259"/>
      <c r="AB20" s="260"/>
      <c r="AC20" s="258" t="s">
        <v>157</v>
      </c>
      <c r="AD20" s="259"/>
      <c r="AE20" s="260"/>
      <c r="AF20" s="258" t="s">
        <v>158</v>
      </c>
      <c r="AG20" s="259"/>
      <c r="AH20" s="260"/>
      <c r="AI20" s="258" t="s">
        <v>159</v>
      </c>
      <c r="AJ20" s="259"/>
      <c r="AK20" s="260"/>
      <c r="AL20" s="258" t="s">
        <v>160</v>
      </c>
      <c r="AM20" s="259"/>
      <c r="AN20" s="260"/>
      <c r="AO20" s="258" t="s">
        <v>161</v>
      </c>
      <c r="AP20" s="259"/>
      <c r="AQ20" s="260"/>
      <c r="AR20" s="239"/>
      <c r="AS20" s="240"/>
      <c r="AT20" s="241"/>
      <c r="AU20" s="239"/>
      <c r="AV20" s="240"/>
      <c r="AW20" s="241"/>
      <c r="AX20" s="239"/>
      <c r="AY20" s="240"/>
      <c r="AZ20" s="241"/>
    </row>
    <row r="21" spans="1:52" ht="30.6" customHeight="1">
      <c r="A21" s="10" t="s">
        <v>162</v>
      </c>
      <c r="B21" s="258" t="s">
        <v>163</v>
      </c>
      <c r="C21" s="259"/>
      <c r="D21" s="260"/>
      <c r="E21" s="258" t="s">
        <v>163</v>
      </c>
      <c r="F21" s="259"/>
      <c r="G21" s="260"/>
      <c r="H21" s="258" t="s">
        <v>163</v>
      </c>
      <c r="I21" s="259"/>
      <c r="J21" s="260"/>
      <c r="K21" s="258" t="s">
        <v>163</v>
      </c>
      <c r="L21" s="259"/>
      <c r="M21" s="260"/>
      <c r="N21" s="258" t="s">
        <v>163</v>
      </c>
      <c r="O21" s="259"/>
      <c r="P21" s="260"/>
      <c r="Q21" s="258" t="s">
        <v>163</v>
      </c>
      <c r="R21" s="259"/>
      <c r="S21" s="260"/>
      <c r="T21" s="258" t="s">
        <v>163</v>
      </c>
      <c r="U21" s="259"/>
      <c r="V21" s="260"/>
      <c r="W21" s="258" t="s">
        <v>163</v>
      </c>
      <c r="X21" s="259"/>
      <c r="Y21" s="260"/>
      <c r="Z21" s="258" t="s">
        <v>163</v>
      </c>
      <c r="AA21" s="259"/>
      <c r="AB21" s="260"/>
      <c r="AC21" s="258" t="s">
        <v>163</v>
      </c>
      <c r="AD21" s="259"/>
      <c r="AE21" s="260"/>
      <c r="AF21" s="258" t="s">
        <v>163</v>
      </c>
      <c r="AG21" s="259"/>
      <c r="AH21" s="260"/>
      <c r="AI21" s="258" t="s">
        <v>163</v>
      </c>
      <c r="AJ21" s="259"/>
      <c r="AK21" s="260"/>
      <c r="AL21" s="258" t="s">
        <v>163</v>
      </c>
      <c r="AM21" s="259"/>
      <c r="AN21" s="260"/>
      <c r="AO21" s="258" t="s">
        <v>163</v>
      </c>
      <c r="AP21" s="259"/>
      <c r="AQ21" s="260"/>
      <c r="AR21" s="239"/>
      <c r="AS21" s="240"/>
      <c r="AT21" s="241"/>
      <c r="AU21" s="252"/>
      <c r="AV21" s="240"/>
      <c r="AW21" s="241"/>
      <c r="AX21" s="252"/>
      <c r="AY21" s="240"/>
      <c r="AZ21" s="241"/>
    </row>
    <row r="22" spans="1:52" s="75" customFormat="1" ht="30" customHeight="1">
      <c r="A22" s="10" t="s">
        <v>164</v>
      </c>
      <c r="B22" s="261" t="s">
        <v>165</v>
      </c>
      <c r="C22" s="262"/>
      <c r="D22" s="263"/>
      <c r="E22" s="261" t="s">
        <v>166</v>
      </c>
      <c r="F22" s="262"/>
      <c r="G22" s="263"/>
      <c r="H22" s="261" t="s">
        <v>167</v>
      </c>
      <c r="I22" s="262"/>
      <c r="J22" s="263"/>
      <c r="K22" s="261" t="s">
        <v>168</v>
      </c>
      <c r="L22" s="262"/>
      <c r="M22" s="263"/>
      <c r="N22" s="261" t="s">
        <v>169</v>
      </c>
      <c r="O22" s="262"/>
      <c r="P22" s="263"/>
      <c r="Q22" s="261" t="s">
        <v>170</v>
      </c>
      <c r="R22" s="262"/>
      <c r="S22" s="263"/>
      <c r="T22" s="261" t="s">
        <v>171</v>
      </c>
      <c r="U22" s="262"/>
      <c r="V22" s="263"/>
      <c r="W22" s="261" t="s">
        <v>172</v>
      </c>
      <c r="X22" s="262"/>
      <c r="Y22" s="263"/>
      <c r="Z22" s="261" t="s">
        <v>173</v>
      </c>
      <c r="AA22" s="262"/>
      <c r="AB22" s="263"/>
      <c r="AC22" s="261" t="s">
        <v>174</v>
      </c>
      <c r="AD22" s="262"/>
      <c r="AE22" s="263"/>
      <c r="AF22" s="261" t="s">
        <v>175</v>
      </c>
      <c r="AG22" s="262"/>
      <c r="AH22" s="263"/>
      <c r="AI22" s="261" t="s">
        <v>176</v>
      </c>
      <c r="AJ22" s="262"/>
      <c r="AK22" s="263"/>
      <c r="AL22" s="261" t="s">
        <v>177</v>
      </c>
      <c r="AM22" s="262"/>
      <c r="AN22" s="263"/>
      <c r="AO22" s="261" t="s">
        <v>178</v>
      </c>
      <c r="AP22" s="262"/>
      <c r="AQ22" s="263"/>
      <c r="AR22" s="242"/>
      <c r="AS22" s="243"/>
      <c r="AT22" s="244"/>
      <c r="AU22" s="242"/>
      <c r="AV22" s="243"/>
      <c r="AW22" s="244"/>
      <c r="AX22" s="242"/>
      <c r="AY22" s="243"/>
      <c r="AZ22" s="244"/>
    </row>
    <row r="23" spans="1:52" ht="109.35" customHeight="1">
      <c r="A23" s="11" t="s">
        <v>179</v>
      </c>
      <c r="B23" s="245" t="s">
        <v>180</v>
      </c>
      <c r="C23" s="246"/>
      <c r="D23" s="257"/>
      <c r="E23" s="245" t="s">
        <v>181</v>
      </c>
      <c r="F23" s="246"/>
      <c r="G23" s="257"/>
      <c r="H23" s="245" t="s">
        <v>182</v>
      </c>
      <c r="I23" s="246"/>
      <c r="J23" s="257"/>
      <c r="K23" s="245" t="s">
        <v>183</v>
      </c>
      <c r="L23" s="246"/>
      <c r="M23" s="257"/>
      <c r="N23" s="245" t="s">
        <v>184</v>
      </c>
      <c r="O23" s="246"/>
      <c r="P23" s="257"/>
      <c r="Q23" s="245" t="s">
        <v>183</v>
      </c>
      <c r="R23" s="246"/>
      <c r="S23" s="257"/>
      <c r="T23" s="245" t="s">
        <v>185</v>
      </c>
      <c r="U23" s="246"/>
      <c r="V23" s="257"/>
      <c r="W23" s="245" t="s">
        <v>183</v>
      </c>
      <c r="X23" s="246"/>
      <c r="Y23" s="257"/>
      <c r="Z23" s="245" t="s">
        <v>183</v>
      </c>
      <c r="AA23" s="246"/>
      <c r="AB23" s="257"/>
      <c r="AC23" s="245" t="s">
        <v>183</v>
      </c>
      <c r="AD23" s="246"/>
      <c r="AE23" s="257"/>
      <c r="AF23" s="245" t="s">
        <v>183</v>
      </c>
      <c r="AG23" s="246"/>
      <c r="AH23" s="257"/>
      <c r="AI23" s="245" t="s">
        <v>183</v>
      </c>
      <c r="AJ23" s="246"/>
      <c r="AK23" s="257"/>
      <c r="AL23" s="245" t="s">
        <v>183</v>
      </c>
      <c r="AM23" s="246"/>
      <c r="AN23" s="257"/>
      <c r="AO23" s="245" t="s">
        <v>183</v>
      </c>
      <c r="AP23" s="246"/>
      <c r="AQ23" s="257"/>
      <c r="AR23" s="245"/>
      <c r="AS23" s="246"/>
      <c r="AT23" s="247"/>
      <c r="AU23" s="245"/>
      <c r="AV23" s="246"/>
      <c r="AW23" s="247"/>
      <c r="AX23" s="245"/>
      <c r="AY23" s="246"/>
      <c r="AZ23" s="247"/>
    </row>
    <row r="24" spans="1:52" ht="30" customHeight="1">
      <c r="A24" s="10" t="s">
        <v>186</v>
      </c>
      <c r="B24" s="254" t="s">
        <v>187</v>
      </c>
      <c r="C24" s="255"/>
      <c r="D24" s="256"/>
      <c r="E24" s="254" t="s">
        <v>188</v>
      </c>
      <c r="F24" s="255"/>
      <c r="G24" s="256"/>
      <c r="H24" s="254" t="s">
        <v>188</v>
      </c>
      <c r="I24" s="255"/>
      <c r="J24" s="256"/>
      <c r="K24" s="254" t="s">
        <v>187</v>
      </c>
      <c r="L24" s="255"/>
      <c r="M24" s="256"/>
      <c r="N24" s="254" t="s">
        <v>189</v>
      </c>
      <c r="O24" s="255"/>
      <c r="P24" s="256"/>
      <c r="Q24" s="276" t="s">
        <v>187</v>
      </c>
      <c r="R24" s="255"/>
      <c r="S24" s="256"/>
      <c r="T24" s="254" t="s">
        <v>190</v>
      </c>
      <c r="U24" s="255"/>
      <c r="V24" s="256"/>
      <c r="W24" s="276" t="s">
        <v>187</v>
      </c>
      <c r="X24" s="255"/>
      <c r="Y24" s="256"/>
      <c r="Z24" s="276" t="s">
        <v>187</v>
      </c>
      <c r="AA24" s="255"/>
      <c r="AB24" s="256"/>
      <c r="AC24" s="276" t="s">
        <v>191</v>
      </c>
      <c r="AD24" s="255"/>
      <c r="AE24" s="256"/>
      <c r="AF24" s="276" t="s">
        <v>187</v>
      </c>
      <c r="AG24" s="255"/>
      <c r="AH24" s="256"/>
      <c r="AI24" s="284" t="s">
        <v>192</v>
      </c>
      <c r="AJ24" s="255"/>
      <c r="AK24" s="285"/>
      <c r="AL24" s="284" t="s">
        <v>192</v>
      </c>
      <c r="AM24" s="255"/>
      <c r="AN24" s="285"/>
      <c r="AO24" s="276" t="s">
        <v>187</v>
      </c>
      <c r="AP24" s="255"/>
      <c r="AQ24" s="256"/>
      <c r="AR24" s="248"/>
      <c r="AS24" s="243"/>
      <c r="AT24" s="244"/>
      <c r="AU24" s="248"/>
      <c r="AV24" s="243"/>
      <c r="AW24" s="253"/>
      <c r="AX24" s="248"/>
      <c r="AY24" s="243"/>
      <c r="AZ24" s="253"/>
    </row>
    <row r="25" spans="1:52" ht="30.6" customHeight="1">
      <c r="A25" s="10" t="s">
        <v>193</v>
      </c>
      <c r="B25" s="210"/>
      <c r="C25" s="211"/>
      <c r="D25" s="212"/>
      <c r="E25" s="287"/>
      <c r="F25" s="288"/>
      <c r="G25" s="289"/>
      <c r="H25" s="210"/>
      <c r="I25" s="211"/>
      <c r="J25" s="212"/>
      <c r="K25" s="210"/>
      <c r="L25" s="211"/>
      <c r="M25" s="212"/>
      <c r="N25" s="210"/>
      <c r="O25" s="211"/>
      <c r="P25" s="212"/>
      <c r="Q25" s="286"/>
      <c r="R25" s="286"/>
      <c r="S25" s="286"/>
      <c r="T25" s="286"/>
      <c r="U25" s="286"/>
      <c r="V25" s="286"/>
      <c r="W25" s="286"/>
      <c r="X25" s="286"/>
      <c r="Y25" s="286"/>
      <c r="Z25" s="286"/>
      <c r="AA25" s="286"/>
      <c r="AB25" s="286"/>
      <c r="AC25" s="286"/>
      <c r="AD25" s="286"/>
      <c r="AE25" s="286"/>
      <c r="AF25" s="286"/>
      <c r="AG25" s="286"/>
      <c r="AH25" s="286"/>
      <c r="AI25" s="210"/>
      <c r="AJ25" s="211"/>
      <c r="AK25" s="212"/>
      <c r="AL25" s="210"/>
      <c r="AM25" s="211"/>
      <c r="AN25" s="212"/>
      <c r="AO25" s="210"/>
      <c r="AP25" s="211"/>
      <c r="AQ25" s="212"/>
      <c r="AR25" s="210"/>
      <c r="AS25" s="211"/>
      <c r="AT25" s="212"/>
      <c r="AU25" s="210"/>
      <c r="AV25" s="211"/>
      <c r="AW25" s="212"/>
      <c r="AX25" s="210"/>
      <c r="AY25" s="211"/>
      <c r="AZ25" s="212"/>
    </row>
    <row r="27" spans="1:52">
      <c r="A27" s="226"/>
      <c r="B27" s="226"/>
      <c r="C27" s="226"/>
      <c r="D27" s="226"/>
      <c r="E27" s="226"/>
      <c r="F27" s="226"/>
      <c r="G27" s="226"/>
      <c r="H27" s="226"/>
      <c r="I27" s="226"/>
      <c r="J27" s="226"/>
      <c r="K27" s="226"/>
      <c r="L27" s="226"/>
      <c r="M27" s="226"/>
      <c r="N27" s="226"/>
      <c r="O27" s="226"/>
      <c r="P27" s="226"/>
      <c r="Q27" s="226"/>
      <c r="R27" s="226"/>
      <c r="S27" s="226"/>
    </row>
  </sheetData>
  <sheetProtection algorithmName="SHA-512" hashValue="A6zQxZvAZnjUcJH7+2+CRYSLIQefsKHuNyg4fy6xvb1igxrrJp3hCkienBLHfYN0m9RDMlt9YDuKpG92rcgb7w==" saltValue="4lUvlorC5g2GBEyQcEIOjQ==" spinCount="100000" sheet="1" formatCells="0" formatColumns="0" formatRows="0" insertColumns="0" insertRows="0" insertHyperlinks="0" deleteColumns="0" deleteRows="0" selectLockedCells="1" sort="0" autoFilter="0" pivotTables="0"/>
  <mergeCells count="186">
    <mergeCell ref="T25:V25"/>
    <mergeCell ref="T20:V20"/>
    <mergeCell ref="T21:V21"/>
    <mergeCell ref="T22:V22"/>
    <mergeCell ref="T24:V24"/>
    <mergeCell ref="K21:M21"/>
    <mergeCell ref="K22:M22"/>
    <mergeCell ref="K20:M20"/>
    <mergeCell ref="N22:P22"/>
    <mergeCell ref="N21:P21"/>
    <mergeCell ref="N20:P20"/>
    <mergeCell ref="K23:M23"/>
    <mergeCell ref="Q20:S20"/>
    <mergeCell ref="A27:S27"/>
    <mergeCell ref="L9:P13"/>
    <mergeCell ref="C11:D11"/>
    <mergeCell ref="C12:D12"/>
    <mergeCell ref="N24:P24"/>
    <mergeCell ref="Q25:S25"/>
    <mergeCell ref="Q23:S23"/>
    <mergeCell ref="N25:P25"/>
    <mergeCell ref="N23:P23"/>
    <mergeCell ref="K24:M24"/>
    <mergeCell ref="Q24:S24"/>
    <mergeCell ref="E25:G25"/>
    <mergeCell ref="B16:D16"/>
    <mergeCell ref="Q21:S21"/>
    <mergeCell ref="Q22:S22"/>
    <mergeCell ref="E22:G22"/>
    <mergeCell ref="E23:G23"/>
    <mergeCell ref="E24:G24"/>
    <mergeCell ref="K25:M25"/>
    <mergeCell ref="H25:J25"/>
    <mergeCell ref="E20:G20"/>
    <mergeCell ref="E21:G21"/>
    <mergeCell ref="A11:A13"/>
    <mergeCell ref="E18:G18"/>
    <mergeCell ref="AI25:AK25"/>
    <mergeCell ref="AL25:AN25"/>
    <mergeCell ref="AL24:AN24"/>
    <mergeCell ref="W25:Y25"/>
    <mergeCell ref="Z25:AB25"/>
    <mergeCell ref="AC25:AE25"/>
    <mergeCell ref="AF25:AH25"/>
    <mergeCell ref="W24:Y24"/>
    <mergeCell ref="Z24:AB24"/>
    <mergeCell ref="AC24:AE24"/>
    <mergeCell ref="AF24:AH24"/>
    <mergeCell ref="AI24:AK24"/>
    <mergeCell ref="AL23:AN23"/>
    <mergeCell ref="T23:V23"/>
    <mergeCell ref="W23:Y23"/>
    <mergeCell ref="Z23:AB23"/>
    <mergeCell ref="AC23:AE23"/>
    <mergeCell ref="AF23:AH23"/>
    <mergeCell ref="AI23:AK23"/>
    <mergeCell ref="AI16:AK16"/>
    <mergeCell ref="AL16:AN16"/>
    <mergeCell ref="AF16:AH16"/>
    <mergeCell ref="AL18:AN18"/>
    <mergeCell ref="AF18:AH18"/>
    <mergeCell ref="AI17:AK17"/>
    <mergeCell ref="AI18:AK18"/>
    <mergeCell ref="AC16:AE16"/>
    <mergeCell ref="AC17:AE17"/>
    <mergeCell ref="W18:Y18"/>
    <mergeCell ref="Z18:AB18"/>
    <mergeCell ref="AC18:AE18"/>
    <mergeCell ref="W19:Y19"/>
    <mergeCell ref="Z19:AB19"/>
    <mergeCell ref="AC19:AE19"/>
    <mergeCell ref="W16:Y16"/>
    <mergeCell ref="Z16:AB16"/>
    <mergeCell ref="B8:D8"/>
    <mergeCell ref="B10:D10"/>
    <mergeCell ref="C13:D13"/>
    <mergeCell ref="B14:D14"/>
    <mergeCell ref="E17:G17"/>
    <mergeCell ref="H16:J16"/>
    <mergeCell ref="K16:M16"/>
    <mergeCell ref="N17:P17"/>
    <mergeCell ref="N16:P16"/>
    <mergeCell ref="J8:K8"/>
    <mergeCell ref="L8:P8"/>
    <mergeCell ref="AF19:AH19"/>
    <mergeCell ref="B9:D9"/>
    <mergeCell ref="J9:K9"/>
    <mergeCell ref="J10:K10"/>
    <mergeCell ref="J11:K11"/>
    <mergeCell ref="J13:K13"/>
    <mergeCell ref="H17:J17"/>
    <mergeCell ref="K17:M17"/>
    <mergeCell ref="Q17:S17"/>
    <mergeCell ref="T19:V19"/>
    <mergeCell ref="Q18:S18"/>
    <mergeCell ref="Q19:S19"/>
    <mergeCell ref="Q16:S16"/>
    <mergeCell ref="T18:V18"/>
    <mergeCell ref="N19:P19"/>
    <mergeCell ref="N18:P18"/>
    <mergeCell ref="T16:V16"/>
    <mergeCell ref="T17:V17"/>
    <mergeCell ref="K18:M18"/>
    <mergeCell ref="H19:J19"/>
    <mergeCell ref="K19:M19"/>
    <mergeCell ref="AL17:AN17"/>
    <mergeCell ref="AL19:AN19"/>
    <mergeCell ref="AL22:AN22"/>
    <mergeCell ref="AL20:AN20"/>
    <mergeCell ref="AL21:AN21"/>
    <mergeCell ref="W22:Y22"/>
    <mergeCell ref="Z22:AB22"/>
    <mergeCell ref="AC22:AE22"/>
    <mergeCell ref="AI19:AK19"/>
    <mergeCell ref="AI20:AK20"/>
    <mergeCell ref="AI21:AK21"/>
    <mergeCell ref="AI22:AK22"/>
    <mergeCell ref="AF22:AH22"/>
    <mergeCell ref="W20:Y20"/>
    <mergeCell ref="Z20:AB20"/>
    <mergeCell ref="AC20:AE20"/>
    <mergeCell ref="AF20:AH20"/>
    <mergeCell ref="W21:Y21"/>
    <mergeCell ref="Z21:AB21"/>
    <mergeCell ref="AC21:AE21"/>
    <mergeCell ref="AF21:AH21"/>
    <mergeCell ref="W17:Y17"/>
    <mergeCell ref="Z17:AB17"/>
    <mergeCell ref="AF17:AH17"/>
    <mergeCell ref="AO25:AQ25"/>
    <mergeCell ref="AR16:AT16"/>
    <mergeCell ref="AU16:AW16"/>
    <mergeCell ref="AU17:AW17"/>
    <mergeCell ref="AU18:AW18"/>
    <mergeCell ref="AU19:AW19"/>
    <mergeCell ref="AU20:AW20"/>
    <mergeCell ref="AU21:AW21"/>
    <mergeCell ref="AU22:AW22"/>
    <mergeCell ref="AU23:AW23"/>
    <mergeCell ref="AU24:AW24"/>
    <mergeCell ref="AU25:AW25"/>
    <mergeCell ref="AO16:AQ16"/>
    <mergeCell ref="AO17:AQ17"/>
    <mergeCell ref="AO18:AQ18"/>
    <mergeCell ref="AO19:AQ19"/>
    <mergeCell ref="AO20:AQ20"/>
    <mergeCell ref="AO21:AQ21"/>
    <mergeCell ref="AO22:AQ22"/>
    <mergeCell ref="AO23:AQ23"/>
    <mergeCell ref="AO24:AQ24"/>
    <mergeCell ref="B25:D25"/>
    <mergeCell ref="E16:G16"/>
    <mergeCell ref="H24:J24"/>
    <mergeCell ref="H23:J23"/>
    <mergeCell ref="H20:J20"/>
    <mergeCell ref="H22:J22"/>
    <mergeCell ref="H21:J21"/>
    <mergeCell ref="B17:D17"/>
    <mergeCell ref="B18:D18"/>
    <mergeCell ref="B19:D19"/>
    <mergeCell ref="B20:D20"/>
    <mergeCell ref="B21:D21"/>
    <mergeCell ref="B22:D22"/>
    <mergeCell ref="B23:D23"/>
    <mergeCell ref="B24:D24"/>
    <mergeCell ref="E19:G19"/>
    <mergeCell ref="H18:J18"/>
    <mergeCell ref="AX16:AZ16"/>
    <mergeCell ref="AX17:AZ17"/>
    <mergeCell ref="AX18:AZ18"/>
    <mergeCell ref="AX19:AZ19"/>
    <mergeCell ref="AX20:AZ20"/>
    <mergeCell ref="AX21:AZ21"/>
    <mergeCell ref="AX22:AZ22"/>
    <mergeCell ref="AX23:AZ23"/>
    <mergeCell ref="AX24:AZ24"/>
    <mergeCell ref="AX25:AZ25"/>
    <mergeCell ref="AR17:AT17"/>
    <mergeCell ref="AR18:AT18"/>
    <mergeCell ref="AR19:AT19"/>
    <mergeCell ref="AR20:AT20"/>
    <mergeCell ref="AR21:AT21"/>
    <mergeCell ref="AR22:AT22"/>
    <mergeCell ref="AR23:AT23"/>
    <mergeCell ref="AR24:AT24"/>
    <mergeCell ref="AR25:AT25"/>
  </mergeCells>
  <phoneticPr fontId="17" type="noConversion"/>
  <dataValidations disablePrompts="1" count="4">
    <dataValidation type="list" allowBlank="1" showInputMessage="1" showErrorMessage="1" sqref="J13:K14" xr:uid="{945CE9B9-B36C-4E8D-8774-0A2B97B42C7A}">
      <formula1>"Selecciona,Si,No"</formula1>
    </dataValidation>
    <dataValidation type="list" allowBlank="1" showInputMessage="1" showErrorMessage="1" sqref="J12:K12" xr:uid="{03B5F593-41CD-4B69-8697-2B4C9E4EBC1F}">
      <formula1>"Selecciona,Alto,Medio,Bajo"</formula1>
    </dataValidation>
    <dataValidation type="list" allowBlank="1" showInputMessage="1" showErrorMessage="1" sqref="J8:K11" xr:uid="{43DC1028-B602-4067-B7FB-513DCC969047}">
      <formula1>"Selecciona,Normal,Estandar,Emergente"</formula1>
    </dataValidation>
    <dataValidation type="list" allowBlank="1" showInputMessage="1" showErrorMessage="1" sqref="B14:G14" xr:uid="{346846ED-9556-4710-80F2-5A41B03D8E0C}">
      <formula1>"Selecciona,PROD,QA1,QA2,QA3"</formula1>
    </dataValidation>
  </dataValidations>
  <hyperlinks>
    <hyperlink ref="B19" r:id="rId1" xr:uid="{66345039-8CD9-495D-95A3-B48D19B625AD}"/>
    <hyperlink ref="E19" r:id="rId2" xr:uid="{221CF8BE-FD39-4D3B-878A-94B4E6F5CADC}"/>
    <hyperlink ref="H19" r:id="rId3" xr:uid="{237932BD-77C2-42A1-9446-3954904DBE51}"/>
    <hyperlink ref="K19" r:id="rId4" xr:uid="{EE9AADC3-FF66-473F-8D7D-3F719238A6DE}"/>
    <hyperlink ref="E24" r:id="rId5" xr:uid="{B33B9D04-A1B3-4118-942E-28AAABB651FA}"/>
    <hyperlink ref="H24" r:id="rId6" xr:uid="{523D954E-97EC-4487-A5F2-6618E1182162}"/>
    <hyperlink ref="B24" r:id="rId7" xr:uid="{1D04FE5A-B838-48F0-980A-4FC187E9AF10}"/>
    <hyperlink ref="N19" r:id="rId8" xr:uid="{7A09F00E-FDC4-4DF3-90B1-822E768264F0}"/>
    <hyperlink ref="N24" r:id="rId9" xr:uid="{6688DC39-4787-4DFE-B56E-E54DE3F38723}"/>
    <hyperlink ref="Q19" r:id="rId10" xr:uid="{1A70A9F4-8186-4EB8-9FC7-E25BA7480065}"/>
    <hyperlink ref="T19" r:id="rId11" xr:uid="{120B389F-03BC-4E0C-9F24-9BBEA78AE545}"/>
    <hyperlink ref="T24" r:id="rId12" xr:uid="{41D4784A-0C17-4A4F-852B-24059929E5F7}"/>
    <hyperlink ref="W19" r:id="rId13" xr:uid="{08B58C4F-6648-47A5-99F5-EE0214485F2F}"/>
    <hyperlink ref="Z19" r:id="rId14" xr:uid="{B6030442-0D4F-4E12-A7EB-B5906AAC71A6}"/>
    <hyperlink ref="AC19" r:id="rId15" xr:uid="{28F8E14D-B1E3-4356-9900-E17FA40E3983}"/>
    <hyperlink ref="AC24" r:id="rId16" xr:uid="{E4470DBE-6410-45BF-9D3E-D705E225C863}"/>
    <hyperlink ref="AF19" r:id="rId17" xr:uid="{EBE7AC95-1BB1-4C6B-A62B-2176228067AA}"/>
    <hyperlink ref="AI19" r:id="rId18" xr:uid="{D6DBA8D0-20A9-4E5A-84C4-8CCFD225DF3B}"/>
    <hyperlink ref="AL19" r:id="rId19" xr:uid="{6429DA70-EA69-494B-9908-F28770EE1EE1}"/>
    <hyperlink ref="AO19" r:id="rId20" xr:uid="{340F703A-2F0E-4145-B6A4-55FFBF9C15EE}"/>
    <hyperlink ref="E24:G24" r:id="rId21" display="https://amiddoriginaciondaleqa3.macropay.mx" xr:uid="{3B174EF5-ECBC-42B9-BC8D-A41A18F4E2CF}"/>
    <hyperlink ref="H24:J24" r:id="rId22" display="https://amiddoriginaciondaleqa3.macropay.mx" xr:uid="{5215D666-AAE9-4A60-9BC1-FA140D4D8D44}"/>
    <hyperlink ref="B19:D19" r:id="rId23" display="https://github.com/MacropayTD/midd-pf-terms" xr:uid="{E0A761DF-94D2-49F3-BB12-3A6BC95A2591}"/>
    <hyperlink ref="B24:D24" r:id="rId24" display="https://midd-pf-qa3.macropay.mx" xr:uid="{3EB27FB4-906E-4690-AC51-82DC45F1163A}"/>
    <hyperlink ref="K24" r:id="rId25" xr:uid="{FCE234EA-13F5-4CFB-A09C-889EE2BABB32}"/>
    <hyperlink ref="K24:M24" r:id="rId26" display="https://midd-pf-qa3.macropay.mx" xr:uid="{BD3EFDCE-B82B-4664-A4B8-CF1E01189C92}"/>
    <hyperlink ref="Q24" r:id="rId27" xr:uid="{45EE0306-C3E7-49F0-9D9C-F705658D2897}"/>
    <hyperlink ref="Q24:S24" r:id="rId28" display="https://midd-pf-qa3.macropay.mx" xr:uid="{6C9586CD-042F-46E1-BEB9-3C3A0F5033C8}"/>
    <hyperlink ref="W24" r:id="rId29" xr:uid="{49F3087C-5C93-4FEA-BF3B-ABCDC868481D}"/>
    <hyperlink ref="W24:Y24" r:id="rId30" display="https://midd-pf-qa3.macropay.mx" xr:uid="{B20E935F-BD3B-43C8-8BE1-01783D3B574B}"/>
    <hyperlink ref="Z24" r:id="rId31" xr:uid="{0D70F357-80E5-42D9-AFED-54FA107FAAAF}"/>
    <hyperlink ref="Z24:AB24" r:id="rId32" display="https://midd-pf-qa3.macropay.mx" xr:uid="{31EF90F7-101B-4270-9F7C-B701F8C495EC}"/>
    <hyperlink ref="AF24" r:id="rId33" xr:uid="{DE549EE5-E035-4DF0-9AA9-999F3A5EE357}"/>
    <hyperlink ref="AF24:AH24" r:id="rId34" display="https://midd-pf-qa3.macropay.mx" xr:uid="{C650498B-18E3-443C-B4ED-10233460E771}"/>
    <hyperlink ref="AI24" r:id="rId35" xr:uid="{D8C9E048-E499-47C7-93C7-3B0DC15DC1D8}"/>
    <hyperlink ref="AO24" r:id="rId36" xr:uid="{ACF4BEF1-BDCB-4227-8FE8-E6C2258F31EA}"/>
    <hyperlink ref="AO24:AQ24" r:id="rId37" display="https://midd-pf-qa3.macropay.mx" xr:uid="{C2D1F557-DCA4-4A5A-9898-CF74D380C68B}"/>
    <hyperlink ref="N24:P24" r:id="rId38" display="https://amiddtransaccionesdaleqa3.macropay.mx" xr:uid="{B930F888-9136-41DB-9363-F44046654C48}"/>
    <hyperlink ref="T24:V24" r:id="rId39" display="https://lapibelvoimss-qa3.macropay.mx" xr:uid="{F22F36EC-9D59-43A1-8187-1F8ADFBDA68F}"/>
    <hyperlink ref="AL19:AN19" r:id="rId40" display="https://github.com/MacropayTD/front-pf-biometrics" xr:uid="{657F0F0E-F6BA-4E1D-92CD-0803B3C6DBC9}"/>
    <hyperlink ref="AI24:AK24" r:id="rId41" display="http://qa3-financing2.macropay.mx" xr:uid="{EC3BDCC7-472A-4579-B6A9-019675EAEBEC}"/>
    <hyperlink ref="AL24" r:id="rId42" xr:uid="{E68BF51A-6FB6-470E-9E72-013A3DBAEA2C}"/>
    <hyperlink ref="AL24:AN24" r:id="rId43" display="http://qa3-financing2.macropay.mx" xr:uid="{98F2966E-733E-476B-B8B1-042E69D61B58}"/>
    <hyperlink ref="T19:V19" r:id="rId44" display="https://github.com/MacropayTD/back-api-belvo-imms" xr:uid="{D608BC86-2E30-4F7A-9868-435FEF2D433F}"/>
    <hyperlink ref="AC24:AE24" r:id="rId45" display="https://mm-uniqueappsync-qa-3.macropay.mx" xr:uid="{3BE7B599-3754-447C-8687-9423DB7CA135}"/>
    <hyperlink ref="AC19:AE19" r:id="rId46" display="https://github.com/MacropayTD/Midd-camus-biometrics" xr:uid="{CEB9E67D-81BB-4F91-8905-7B4358834FA8}"/>
    <hyperlink ref="E19:G19" r:id="rId47" display="https://github.com/MacropayTD/midd-originacion-transacciones-proveedor" xr:uid="{65F6781D-1E82-41F4-B2FF-61AC65831716}"/>
    <hyperlink ref="H19:J19" r:id="rId48" display="https://github.com/MacropayTD/midd-originacion-transacciones-proveedor-token" xr:uid="{1B77A4AC-FC8C-41E8-8EA1-01F7B72DB3AE}"/>
    <hyperlink ref="N19:P19" r:id="rId49" display="https://github.com/MacropayTD/midd-originacion-transacciones-macropay" xr:uid="{57F62F7B-DA0D-4BF3-BDAF-694CBFEC926A}"/>
  </hyperlinks>
  <pageMargins left="0.7" right="0.7" top="0.75" bottom="0.75" header="0.3" footer="0.3"/>
  <pageSetup orientation="portrait" r:id="rId50"/>
  <drawing r:id="rId5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786F3-A898-4A1F-82C9-05B16DEACE49}">
  <dimension ref="A8:R18"/>
  <sheetViews>
    <sheetView showGridLines="0" topLeftCell="A4" zoomScale="85" zoomScaleNormal="85" zoomScalePageLayoutView="85" workbookViewId="0">
      <selection activeCell="J17" sqref="J17"/>
    </sheetView>
  </sheetViews>
  <sheetFormatPr defaultColWidth="10.85546875" defaultRowHeight="15"/>
  <cols>
    <col min="1" max="1" width="28.42578125" style="1" customWidth="1"/>
    <col min="2" max="2" width="21.42578125" style="1" customWidth="1"/>
    <col min="3" max="3" width="10.85546875" style="1"/>
    <col min="4" max="4" width="16.42578125" style="1" customWidth="1"/>
    <col min="5" max="5" width="10.42578125" style="1" customWidth="1"/>
    <col min="6" max="6" width="26.42578125" style="1" customWidth="1"/>
    <col min="7" max="7" width="14.42578125" style="1" customWidth="1"/>
    <col min="8" max="8" width="10.42578125" style="1" customWidth="1"/>
    <col min="9" max="9" width="11.85546875" style="1" customWidth="1"/>
    <col min="10" max="10" width="15" style="1" customWidth="1"/>
    <col min="11" max="11" width="10.85546875" style="1" customWidth="1"/>
    <col min="12" max="12" width="16.42578125" style="1" customWidth="1"/>
    <col min="13" max="16384" width="10.85546875" style="1"/>
  </cols>
  <sheetData>
    <row r="8" spans="1:18" ht="21.6" customHeight="1" thickBot="1">
      <c r="A8" s="46" t="str">
        <f>EV.RIESGO!A8</f>
        <v>ID del proyecto:</v>
      </c>
      <c r="B8" s="213" t="str">
        <f>EV.RIESGO!B8</f>
        <v>ris001-pe26</v>
      </c>
      <c r="C8" s="214"/>
      <c r="D8" s="215"/>
      <c r="E8" s="47"/>
      <c r="F8" s="48" t="str">
        <f>EV.RIESGO!F8</f>
        <v>Tipo de Cambio:</v>
      </c>
      <c r="G8" s="220" t="str">
        <f>EV.RIESGO!G8</f>
        <v>Normal</v>
      </c>
      <c r="H8" s="220"/>
      <c r="I8" s="281" t="str">
        <f>EV.RIESGO!I8</f>
        <v>Comentarios adicionales.</v>
      </c>
      <c r="J8" s="282"/>
      <c r="K8" s="282"/>
      <c r="L8" s="283"/>
      <c r="M8" s="36"/>
      <c r="N8" s="290" t="s">
        <v>40</v>
      </c>
      <c r="O8" s="291"/>
      <c r="P8" s="291"/>
      <c r="Q8" s="291"/>
      <c r="R8" s="292"/>
    </row>
    <row r="9" spans="1:18" ht="21.6" customHeight="1">
      <c r="A9" s="46" t="str">
        <f>EV.RIESGO!A9</f>
        <v>Nombre del proyecto</v>
      </c>
      <c r="B9" s="213" t="str">
        <f>EV.RIESGO!B9</f>
        <v>Dale Onboarding Innovador</v>
      </c>
      <c r="C9" s="214"/>
      <c r="D9" s="215"/>
      <c r="E9" s="47"/>
      <c r="F9" s="48" t="str">
        <f>EV.RIESGO!F9</f>
        <v>Prioridad:</v>
      </c>
      <c r="G9" s="220" t="str">
        <f>EV.RIESGO!G9</f>
        <v>Media</v>
      </c>
      <c r="H9" s="220"/>
      <c r="I9" s="305"/>
      <c r="J9" s="306"/>
      <c r="K9" s="306"/>
      <c r="L9" s="307"/>
      <c r="M9" s="12"/>
      <c r="N9" s="293">
        <f>COUNTIF(N17:R18,"Completado")/(COUNTA(N17:R18))</f>
        <v>0</v>
      </c>
      <c r="O9" s="294"/>
      <c r="P9" s="294"/>
      <c r="Q9" s="294"/>
      <c r="R9" s="295"/>
    </row>
    <row r="10" spans="1:18" ht="21.6" customHeight="1">
      <c r="A10" s="46" t="str">
        <f>EV.RIESGO!A10</f>
        <v>Plataformas impactadas:</v>
      </c>
      <c r="B10" s="213" t="str">
        <f>EV.RIESGO!B10</f>
        <v xml:space="preserve"> Plataforma Dale y componentes PF</v>
      </c>
      <c r="C10" s="214"/>
      <c r="D10" s="215"/>
      <c r="E10" s="49"/>
      <c r="F10" s="48" t="str">
        <f>EV.RIESGO!F10</f>
        <v>Riesgo:</v>
      </c>
      <c r="G10" s="220" t="str">
        <f>EV.RIESGO!G10</f>
        <v>Medio</v>
      </c>
      <c r="H10" s="220"/>
      <c r="I10" s="308"/>
      <c r="J10" s="309"/>
      <c r="K10" s="309"/>
      <c r="L10" s="310"/>
      <c r="M10" s="12"/>
      <c r="N10" s="296"/>
      <c r="O10" s="297"/>
      <c r="P10" s="297"/>
      <c r="Q10" s="297"/>
      <c r="R10" s="298"/>
    </row>
    <row r="11" spans="1:18" ht="21.6" customHeight="1">
      <c r="A11" s="216" t="str">
        <f>EV.RIESGO!A11</f>
        <v>Líder del Cambio:</v>
      </c>
      <c r="B11" s="50" t="str">
        <f>EV.RIESGO!B11</f>
        <v>Arquitecto</v>
      </c>
      <c r="C11" s="219" t="str">
        <f>EV.RIESGO!C11</f>
        <v>N/A</v>
      </c>
      <c r="D11" s="219"/>
      <c r="E11" s="49"/>
      <c r="F11" s="48" t="str">
        <f>EV.RIESGO!F11</f>
        <v>Afecta la operación:</v>
      </c>
      <c r="G11" s="220" t="str">
        <f>EV.RIESGO!G11</f>
        <v>No</v>
      </c>
      <c r="H11" s="220"/>
      <c r="I11" s="308"/>
      <c r="J11" s="309"/>
      <c r="K11" s="309"/>
      <c r="L11" s="310"/>
      <c r="M11" s="12"/>
      <c r="N11" s="296"/>
      <c r="O11" s="297"/>
      <c r="P11" s="297"/>
      <c r="Q11" s="297"/>
      <c r="R11" s="298"/>
    </row>
    <row r="12" spans="1:18" ht="21.6" customHeight="1">
      <c r="A12" s="217"/>
      <c r="B12" s="50" t="str">
        <f>EV.RIESGO!B12</f>
        <v>Project Manager</v>
      </c>
      <c r="C12" s="219" t="str">
        <f>EV.RIESGO!C12</f>
        <v>N/A</v>
      </c>
      <c r="D12" s="219"/>
      <c r="E12" s="49"/>
      <c r="F12" s="51"/>
      <c r="G12" s="52"/>
      <c r="H12" s="52"/>
      <c r="I12" s="308"/>
      <c r="J12" s="309"/>
      <c r="K12" s="309"/>
      <c r="L12" s="310"/>
      <c r="M12" s="12"/>
      <c r="N12" s="296"/>
      <c r="O12" s="297"/>
      <c r="P12" s="297"/>
      <c r="Q12" s="297"/>
      <c r="R12" s="298"/>
    </row>
    <row r="13" spans="1:18" ht="21.6" customHeight="1">
      <c r="A13" s="218"/>
      <c r="B13" s="50" t="str">
        <f>EV.RIESGO!B13</f>
        <v>Líder Técnico Dev</v>
      </c>
      <c r="C13" s="219" t="str">
        <f>EV.RIESGO!C13</f>
        <v>GESTION DE AMBIENTES</v>
      </c>
      <c r="D13" s="219"/>
      <c r="E13" s="49"/>
      <c r="F13" s="51"/>
      <c r="G13" s="225"/>
      <c r="H13" s="225"/>
      <c r="I13" s="311"/>
      <c r="J13" s="312"/>
      <c r="K13" s="312"/>
      <c r="L13" s="313"/>
      <c r="M13" s="12"/>
      <c r="N13" s="299"/>
      <c r="O13" s="300"/>
      <c r="P13" s="300"/>
      <c r="Q13" s="300"/>
      <c r="R13" s="301"/>
    </row>
    <row r="14" spans="1:18" ht="21.6" customHeight="1">
      <c r="A14" s="46" t="str">
        <f>EV.RIESGO!A14</f>
        <v>Ambiente:</v>
      </c>
      <c r="B14" s="220" t="str">
        <f>EV.RIESGO!B14</f>
        <v>QA3</v>
      </c>
      <c r="C14" s="220"/>
      <c r="D14" s="220"/>
      <c r="E14" s="49"/>
      <c r="F14" s="51"/>
      <c r="G14" s="52"/>
      <c r="H14" s="52"/>
      <c r="I14" s="8"/>
      <c r="J14" s="8"/>
      <c r="K14" s="8"/>
      <c r="L14" s="8"/>
      <c r="M14" s="8"/>
      <c r="N14" s="14"/>
      <c r="O14" s="14"/>
      <c r="P14" s="14"/>
      <c r="Q14" s="14"/>
      <c r="R14" s="14"/>
    </row>
    <row r="15" spans="1:18" ht="8.1" customHeight="1"/>
    <row r="16" spans="1:18" s="8" customFormat="1" ht="45" customHeight="1">
      <c r="A16" s="6" t="s">
        <v>124</v>
      </c>
      <c r="B16" s="302" t="s">
        <v>194</v>
      </c>
      <c r="C16" s="303"/>
      <c r="D16" s="303"/>
      <c r="E16" s="303"/>
      <c r="F16" s="303"/>
      <c r="G16" s="303"/>
      <c r="H16" s="304"/>
      <c r="I16" s="6" t="s">
        <v>44</v>
      </c>
      <c r="J16" s="7" t="s">
        <v>68</v>
      </c>
      <c r="K16" s="317" t="s">
        <v>70</v>
      </c>
      <c r="L16" s="318"/>
      <c r="N16" s="221" t="s">
        <v>71</v>
      </c>
      <c r="O16" s="222"/>
      <c r="P16" s="222"/>
      <c r="Q16" s="222"/>
      <c r="R16" s="223"/>
    </row>
    <row r="17" spans="1:18" ht="23.1" customHeight="1">
      <c r="A17" s="2">
        <v>1</v>
      </c>
      <c r="B17" s="210"/>
      <c r="C17" s="211"/>
      <c r="D17" s="211"/>
      <c r="E17" s="211"/>
      <c r="F17" s="211"/>
      <c r="G17" s="211"/>
      <c r="H17" s="212"/>
      <c r="I17" s="64" t="s">
        <v>47</v>
      </c>
      <c r="J17" s="5"/>
      <c r="K17" s="286"/>
      <c r="L17" s="286"/>
      <c r="N17" s="314" t="s">
        <v>73</v>
      </c>
      <c r="O17" s="315"/>
      <c r="P17" s="315"/>
      <c r="Q17" s="315"/>
      <c r="R17" s="316"/>
    </row>
    <row r="18" spans="1:18" ht="23.1" customHeight="1">
      <c r="A18" s="2">
        <v>2</v>
      </c>
      <c r="B18" s="210"/>
      <c r="C18" s="211"/>
      <c r="D18" s="211"/>
      <c r="E18" s="211"/>
      <c r="F18" s="211"/>
      <c r="G18" s="211"/>
      <c r="H18" s="212"/>
      <c r="I18" s="64" t="s">
        <v>47</v>
      </c>
      <c r="J18" s="5"/>
      <c r="K18" s="286"/>
      <c r="L18" s="286"/>
      <c r="N18" s="314" t="s">
        <v>73</v>
      </c>
      <c r="O18" s="315"/>
      <c r="P18" s="315"/>
      <c r="Q18" s="315"/>
      <c r="R18" s="316"/>
    </row>
  </sheetData>
  <sheetProtection sheet="1" formatCells="0" formatColumns="0" formatRows="0" insertColumns="0" insertRows="0" insertHyperlinks="0" deleteColumns="0" deleteRows="0" selectLockedCells="1" sort="0" autoFilter="0" pivotTables="0"/>
  <mergeCells count="26">
    <mergeCell ref="A11:A13"/>
    <mergeCell ref="N17:R17"/>
    <mergeCell ref="N18:R18"/>
    <mergeCell ref="K16:L16"/>
    <mergeCell ref="K17:L17"/>
    <mergeCell ref="K18:L18"/>
    <mergeCell ref="B17:H17"/>
    <mergeCell ref="B18:H18"/>
    <mergeCell ref="C11:D11"/>
    <mergeCell ref="C12:D12"/>
    <mergeCell ref="N8:R8"/>
    <mergeCell ref="I8:L8"/>
    <mergeCell ref="N9:R13"/>
    <mergeCell ref="N16:R16"/>
    <mergeCell ref="G10:H10"/>
    <mergeCell ref="G11:H11"/>
    <mergeCell ref="B16:H16"/>
    <mergeCell ref="I9:L13"/>
    <mergeCell ref="G8:H8"/>
    <mergeCell ref="B9:D9"/>
    <mergeCell ref="G9:H9"/>
    <mergeCell ref="G13:H13"/>
    <mergeCell ref="B8:D8"/>
    <mergeCell ref="B10:D10"/>
    <mergeCell ref="C13:D13"/>
    <mergeCell ref="B14:D14"/>
  </mergeCells>
  <conditionalFormatting sqref="N17:R18">
    <cfRule type="cellIs" dxfId="8" priority="1" operator="equal">
      <formula>"En espera"</formula>
    </cfRule>
    <cfRule type="cellIs" dxfId="7" priority="2" operator="equal">
      <formula>"Completado"</formula>
    </cfRule>
    <cfRule type="cellIs" dxfId="6" priority="3" operator="equal">
      <formula>"Error"</formula>
    </cfRule>
  </conditionalFormatting>
  <dataValidations count="6">
    <dataValidation type="list" allowBlank="1" showInputMessage="1" showErrorMessage="1" sqref="G13:H14" xr:uid="{3C442E5B-AF5C-45DC-BCE6-9CD3D87DF25E}">
      <formula1>"Selecciona,Si,No"</formula1>
    </dataValidation>
    <dataValidation type="list" allowBlank="1" showInputMessage="1" showErrorMessage="1" sqref="G12:H12" xr:uid="{8F47AB82-CBF0-4CBA-A856-CE7A395FE2C1}">
      <formula1>"Selecciona,Alto,Medio,Bajo"</formula1>
    </dataValidation>
    <dataValidation type="list" allowBlank="1" showInputMessage="1" showErrorMessage="1" sqref="G8:H11" xr:uid="{4D05CDFF-AE2C-4937-A500-1BFC1AC457FE}">
      <formula1>"Selecciona,Normal,Estandar,Emergente"</formula1>
    </dataValidation>
    <dataValidation type="list" allowBlank="1" showInputMessage="1" showErrorMessage="1" sqref="B14:D14" xr:uid="{2904EA5B-1F7A-4AB5-9F4D-30B2F3E26B2C}">
      <formula1>"Selecciona,PROD,QA1,QA2,QA3"</formula1>
    </dataValidation>
    <dataValidation type="list" allowBlank="1" showInputMessage="1" showErrorMessage="1" sqref="N17:R18" xr:uid="{02C51240-C63E-421E-B965-8F12AC28D04A}">
      <formula1>"En espera, Completado, Error"</formula1>
    </dataValidation>
    <dataValidation type="list" allowBlank="1" showInputMessage="1" showErrorMessage="1" sqref="I18" xr:uid="{51805D5E-1260-4610-9159-EB2902FCA6C6}">
      <formula1>"Selecciona, DBA, Cloud, Ciber, Devops, SAP,  IAM, QA, APP, Desarrollo"</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D8DF769-DA6F-4DF0-BDED-30DB8FA2F6D5}">
          <x14:formula1>
            <xm:f>RFC!$F$20:$F$27</xm:f>
          </x14:formula1>
          <xm:sqref>I17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4055B-AFEC-4F29-AF4B-6006525A0E46}">
  <dimension ref="A7:S1640"/>
  <sheetViews>
    <sheetView showGridLines="0" topLeftCell="A13" zoomScale="70" zoomScaleNormal="70" zoomScalePageLayoutView="85" workbookViewId="0">
      <selection activeCell="O40" sqref="O40:S40"/>
    </sheetView>
  </sheetViews>
  <sheetFormatPr defaultColWidth="10.85546875" defaultRowHeight="15"/>
  <cols>
    <col min="1" max="1" width="30.42578125" style="1" customWidth="1"/>
    <col min="2" max="2" width="22.42578125" style="1" customWidth="1"/>
    <col min="3" max="3" width="10.85546875" style="1"/>
    <col min="4" max="4" width="16.42578125" style="1" customWidth="1"/>
    <col min="5" max="5" width="10.42578125" style="1" customWidth="1"/>
    <col min="6" max="6" width="17.42578125" style="1" customWidth="1"/>
    <col min="7" max="7" width="14.42578125" style="1" customWidth="1"/>
    <col min="8" max="8" width="10.42578125" style="1" customWidth="1"/>
    <col min="9" max="9" width="23.42578125" style="1" customWidth="1"/>
    <col min="10" max="11" width="14.42578125" style="1" customWidth="1"/>
    <col min="12" max="12" width="10.85546875" style="1" customWidth="1"/>
    <col min="13" max="13" width="22.42578125" style="1" customWidth="1"/>
    <col min="14" max="14" width="10.85546875" style="29"/>
    <col min="15" max="16384" width="10.85546875" style="1"/>
  </cols>
  <sheetData>
    <row r="7" spans="1:19">
      <c r="N7" s="1"/>
    </row>
    <row r="8" spans="1:19" ht="23.1" customHeight="1" thickBot="1">
      <c r="A8" s="46" t="str">
        <f>EV.RIESGO!A8</f>
        <v>ID del proyecto:</v>
      </c>
      <c r="B8" s="213" t="str">
        <f>EV.RIESGO!B8</f>
        <v>ris001-pe26</v>
      </c>
      <c r="C8" s="214"/>
      <c r="D8" s="215"/>
      <c r="E8" s="47"/>
      <c r="F8" s="48" t="str">
        <f>EV.RIESGO!F8</f>
        <v>Tipo de Cambio:</v>
      </c>
      <c r="G8" s="220" t="str">
        <f>EV.RIESGO!G8</f>
        <v>Normal</v>
      </c>
      <c r="H8" s="220"/>
      <c r="I8" s="31"/>
      <c r="J8" s="281" t="str">
        <f>EV.RIESGO!I8</f>
        <v>Comentarios adicionales.</v>
      </c>
      <c r="K8" s="282"/>
      <c r="L8" s="282"/>
      <c r="M8" s="283"/>
      <c r="N8" s="33"/>
      <c r="O8" s="290" t="s">
        <v>40</v>
      </c>
      <c r="P8" s="291"/>
      <c r="Q8" s="291"/>
      <c r="R8" s="291"/>
      <c r="S8" s="292"/>
    </row>
    <row r="9" spans="1:19" ht="23.1" customHeight="1">
      <c r="A9" s="46" t="str">
        <f>EV.RIESGO!A9</f>
        <v>Nombre del proyecto</v>
      </c>
      <c r="B9" s="213" t="str">
        <f>EV.RIESGO!B9</f>
        <v>Dale Onboarding Innovador</v>
      </c>
      <c r="C9" s="214"/>
      <c r="D9" s="215"/>
      <c r="E9" s="47"/>
      <c r="F9" s="48" t="str">
        <f>EV.RIESGO!F9</f>
        <v>Prioridad:</v>
      </c>
      <c r="G9" s="220" t="str">
        <f>EV.RIESGO!G9</f>
        <v>Media</v>
      </c>
      <c r="H9" s="220"/>
      <c r="I9" s="31"/>
      <c r="J9" s="305"/>
      <c r="K9" s="306"/>
      <c r="L9" s="306"/>
      <c r="M9" s="307"/>
      <c r="N9" s="34"/>
      <c r="O9" s="293">
        <f>COUNTIF(O31:S37,"Completado")/(COUNTA(O31:S31,O36:S37))</f>
        <v>0</v>
      </c>
      <c r="P9" s="294"/>
      <c r="Q9" s="294"/>
      <c r="R9" s="294"/>
      <c r="S9" s="295"/>
    </row>
    <row r="10" spans="1:19" ht="23.1" customHeight="1">
      <c r="A10" s="46" t="str">
        <f>EV.RIESGO!A10</f>
        <v>Plataformas impactadas:</v>
      </c>
      <c r="B10" s="213" t="str">
        <f>EV.RIESGO!B10</f>
        <v xml:space="preserve"> Plataforma Dale y componentes PF</v>
      </c>
      <c r="C10" s="214"/>
      <c r="D10" s="215"/>
      <c r="E10" s="49"/>
      <c r="F10" s="48" t="str">
        <f>EV.RIESGO!F10</f>
        <v>Riesgo:</v>
      </c>
      <c r="G10" s="220" t="str">
        <f>EV.RIESGO!G10</f>
        <v>Medio</v>
      </c>
      <c r="H10" s="220"/>
      <c r="I10" s="31"/>
      <c r="J10" s="308"/>
      <c r="K10" s="309"/>
      <c r="L10" s="309"/>
      <c r="M10" s="310"/>
      <c r="N10" s="34"/>
      <c r="O10" s="296"/>
      <c r="P10" s="297"/>
      <c r="Q10" s="297"/>
      <c r="R10" s="297"/>
      <c r="S10" s="298"/>
    </row>
    <row r="11" spans="1:19" ht="23.1" customHeight="1">
      <c r="A11" s="216" t="str">
        <f>EV.RIESGO!A11</f>
        <v>Líder del Cambio:</v>
      </c>
      <c r="B11" s="50" t="str">
        <f>EV.RIESGO!B11</f>
        <v>Arquitecto</v>
      </c>
      <c r="C11" s="219" t="str">
        <f>EV.RIESGO!C11</f>
        <v>N/A</v>
      </c>
      <c r="D11" s="219"/>
      <c r="E11" s="49"/>
      <c r="F11" s="48" t="str">
        <f>EV.RIESGO!F11</f>
        <v>Afecta la operación:</v>
      </c>
      <c r="G11" s="220" t="str">
        <f>EV.RIESGO!G11</f>
        <v>No</v>
      </c>
      <c r="H11" s="220"/>
      <c r="I11" s="31"/>
      <c r="J11" s="308"/>
      <c r="K11" s="309"/>
      <c r="L11" s="309"/>
      <c r="M11" s="310"/>
      <c r="N11" s="34"/>
      <c r="O11" s="296"/>
      <c r="P11" s="297"/>
      <c r="Q11" s="297"/>
      <c r="R11" s="297"/>
      <c r="S11" s="298"/>
    </row>
    <row r="12" spans="1:19" ht="23.1" customHeight="1">
      <c r="A12" s="217"/>
      <c r="B12" s="50" t="str">
        <f>EV.RIESGO!B12</f>
        <v>Project Manager</v>
      </c>
      <c r="C12" s="219" t="str">
        <f>EV.RIESGO!C12</f>
        <v>N/A</v>
      </c>
      <c r="D12" s="219"/>
      <c r="E12" s="49"/>
      <c r="F12" s="51"/>
      <c r="G12" s="52"/>
      <c r="H12" s="52"/>
      <c r="I12" s="8"/>
      <c r="J12" s="308"/>
      <c r="K12" s="309"/>
      <c r="L12" s="309"/>
      <c r="M12" s="310"/>
      <c r="N12" s="34"/>
      <c r="O12" s="296"/>
      <c r="P12" s="297"/>
      <c r="Q12" s="297"/>
      <c r="R12" s="297"/>
      <c r="S12" s="298"/>
    </row>
    <row r="13" spans="1:19" ht="23.1" customHeight="1">
      <c r="A13" s="218"/>
      <c r="B13" s="50" t="str">
        <f>EV.RIESGO!B13</f>
        <v>Líder Técnico Dev</v>
      </c>
      <c r="C13" s="219" t="str">
        <f>EV.RIESGO!C13</f>
        <v>GESTION DE AMBIENTES</v>
      </c>
      <c r="D13" s="219"/>
      <c r="E13" s="49"/>
      <c r="F13" s="51"/>
      <c r="G13" s="225"/>
      <c r="H13" s="225"/>
      <c r="I13" s="8"/>
      <c r="J13" s="311"/>
      <c r="K13" s="312"/>
      <c r="L13" s="312"/>
      <c r="M13" s="313"/>
      <c r="N13" s="34"/>
      <c r="O13" s="299"/>
      <c r="P13" s="300"/>
      <c r="Q13" s="300"/>
      <c r="R13" s="300"/>
      <c r="S13" s="301"/>
    </row>
    <row r="14" spans="1:19" ht="23.1" customHeight="1">
      <c r="A14" s="46" t="str">
        <f>EV.RIESGO!A14</f>
        <v>Ambiente:</v>
      </c>
      <c r="B14" s="220" t="str">
        <f>EV.RIESGO!B14</f>
        <v>QA3</v>
      </c>
      <c r="C14" s="220"/>
      <c r="D14" s="220"/>
      <c r="E14" s="49"/>
      <c r="F14" s="51"/>
      <c r="G14" s="52"/>
      <c r="H14" s="52"/>
      <c r="I14" s="8"/>
      <c r="J14" s="8"/>
      <c r="K14" s="8"/>
      <c r="L14" s="8"/>
      <c r="M14" s="8"/>
      <c r="N14" s="8"/>
      <c r="O14" s="14"/>
      <c r="P14" s="14"/>
      <c r="Q14" s="14"/>
      <c r="R14" s="14"/>
      <c r="S14" s="14"/>
    </row>
    <row r="15" spans="1:19">
      <c r="N15" s="1"/>
    </row>
    <row r="16" spans="1:19" ht="15.75">
      <c r="A16" s="325" t="s">
        <v>42</v>
      </c>
      <c r="B16" s="326"/>
      <c r="C16" s="326"/>
      <c r="D16" s="326"/>
      <c r="E16" s="326"/>
      <c r="F16" s="326"/>
      <c r="G16" s="326"/>
      <c r="H16" s="326"/>
      <c r="I16" s="326"/>
      <c r="J16" s="326"/>
      <c r="K16" s="326"/>
      <c r="L16" s="326"/>
      <c r="M16" s="326"/>
      <c r="N16" s="1"/>
    </row>
    <row r="17" spans="1:19" ht="8.1" customHeight="1">
      <c r="N17" s="1"/>
    </row>
    <row r="18" spans="1:19">
      <c r="B18" s="334" t="s">
        <v>43</v>
      </c>
      <c r="C18" s="334"/>
      <c r="D18" s="334"/>
      <c r="E18" s="65" t="s">
        <v>44</v>
      </c>
      <c r="F18" s="335" t="s">
        <v>45</v>
      </c>
      <c r="G18" s="335"/>
      <c r="H18" s="335" t="s">
        <v>46</v>
      </c>
      <c r="I18" s="335"/>
      <c r="J18" s="335"/>
      <c r="N18" s="1"/>
    </row>
    <row r="19" spans="1:19" ht="23.1" customHeight="1">
      <c r="B19" s="338" t="s">
        <v>48</v>
      </c>
      <c r="C19" s="338"/>
      <c r="D19" s="338"/>
      <c r="E19" s="66" t="s">
        <v>49</v>
      </c>
      <c r="F19" s="319">
        <f>RFC!G20</f>
        <v>0</v>
      </c>
      <c r="G19" s="320"/>
      <c r="H19" s="319">
        <f>RFC!I20</f>
        <v>0</v>
      </c>
      <c r="I19" s="321"/>
      <c r="J19" s="320"/>
      <c r="N19" s="1"/>
    </row>
    <row r="20" spans="1:19" ht="23.1" customHeight="1">
      <c r="B20" s="338" t="s">
        <v>50</v>
      </c>
      <c r="C20" s="338"/>
      <c r="D20" s="338"/>
      <c r="E20" s="66" t="s">
        <v>51</v>
      </c>
      <c r="F20" s="319">
        <f>RFC!G21</f>
        <v>0</v>
      </c>
      <c r="G20" s="320"/>
      <c r="H20" s="319">
        <f>RFC!I21</f>
        <v>0</v>
      </c>
      <c r="I20" s="321"/>
      <c r="J20" s="320"/>
      <c r="N20" s="1"/>
    </row>
    <row r="21" spans="1:19" ht="23.1" customHeight="1">
      <c r="B21" s="338" t="s">
        <v>52</v>
      </c>
      <c r="C21" s="338"/>
      <c r="D21" s="338"/>
      <c r="E21" s="66" t="s">
        <v>53</v>
      </c>
      <c r="F21" s="319">
        <f>RFC!G22</f>
        <v>0</v>
      </c>
      <c r="G21" s="320"/>
      <c r="H21" s="319">
        <f>RFC!I22</f>
        <v>0</v>
      </c>
      <c r="I21" s="321"/>
      <c r="J21" s="320"/>
      <c r="N21" s="1"/>
    </row>
    <row r="22" spans="1:19" ht="23.1" customHeight="1">
      <c r="B22" s="338" t="s">
        <v>54</v>
      </c>
      <c r="C22" s="338"/>
      <c r="D22" s="338"/>
      <c r="E22" s="66" t="s">
        <v>55</v>
      </c>
      <c r="F22" s="319">
        <f>RFC!G23</f>
        <v>0</v>
      </c>
      <c r="G22" s="320"/>
      <c r="H22" s="319">
        <f>RFC!I23</f>
        <v>0</v>
      </c>
      <c r="I22" s="321"/>
      <c r="J22" s="320"/>
      <c r="N22" s="1"/>
    </row>
    <row r="23" spans="1:19" ht="23.1" customHeight="1">
      <c r="B23" s="338" t="s">
        <v>56</v>
      </c>
      <c r="C23" s="338"/>
      <c r="D23" s="338"/>
      <c r="E23" s="66" t="s">
        <v>56</v>
      </c>
      <c r="F23" s="319">
        <f>RFC!G24</f>
        <v>0</v>
      </c>
      <c r="G23" s="320"/>
      <c r="H23" s="319">
        <f>RFC!I24</f>
        <v>0</v>
      </c>
      <c r="I23" s="321"/>
      <c r="J23" s="320"/>
      <c r="N23" s="1"/>
    </row>
    <row r="24" spans="1:19" ht="23.1" customHeight="1">
      <c r="B24" s="338" t="s">
        <v>57</v>
      </c>
      <c r="C24" s="338"/>
      <c r="D24" s="338"/>
      <c r="E24" s="66" t="s">
        <v>58</v>
      </c>
      <c r="F24" s="319">
        <f>RFC!G25</f>
        <v>0</v>
      </c>
      <c r="G24" s="320"/>
      <c r="H24" s="319">
        <f>RFC!I25</f>
        <v>0</v>
      </c>
      <c r="I24" s="321"/>
      <c r="J24" s="320"/>
      <c r="N24" s="1"/>
    </row>
    <row r="25" spans="1:19" ht="23.1" customHeight="1">
      <c r="B25" s="338" t="s">
        <v>59</v>
      </c>
      <c r="C25" s="338"/>
      <c r="D25" s="338"/>
      <c r="E25" s="66" t="s">
        <v>60</v>
      </c>
      <c r="F25" s="319">
        <f>RFC!G26</f>
        <v>0</v>
      </c>
      <c r="G25" s="320"/>
      <c r="H25" s="319">
        <f>RFC!I26</f>
        <v>0</v>
      </c>
      <c r="I25" s="321"/>
      <c r="J25" s="320"/>
      <c r="N25" s="1"/>
    </row>
    <row r="26" spans="1:19" ht="23.1" customHeight="1">
      <c r="B26" s="338" t="s">
        <v>61</v>
      </c>
      <c r="C26" s="338"/>
      <c r="D26" s="338"/>
      <c r="E26" s="66" t="s">
        <v>62</v>
      </c>
      <c r="F26" s="319">
        <f>RFC!G27</f>
        <v>0</v>
      </c>
      <c r="G26" s="320"/>
      <c r="H26" s="319">
        <f>RFC!I27</f>
        <v>0</v>
      </c>
      <c r="I26" s="321"/>
      <c r="J26" s="320"/>
      <c r="N26" s="1"/>
    </row>
    <row r="27" spans="1:19" ht="8.1" customHeight="1">
      <c r="N27" s="32"/>
    </row>
    <row r="28" spans="1:19" ht="15.75">
      <c r="A28" s="325" t="s">
        <v>195</v>
      </c>
      <c r="B28" s="326"/>
      <c r="C28" s="326"/>
      <c r="D28" s="326"/>
      <c r="E28" s="326"/>
      <c r="F28" s="326"/>
      <c r="G28" s="326"/>
      <c r="H28" s="326"/>
      <c r="I28" s="326"/>
      <c r="J28" s="326"/>
      <c r="K28" s="326"/>
      <c r="L28" s="326"/>
      <c r="M28" s="326"/>
      <c r="N28" s="35"/>
    </row>
    <row r="29" spans="1:19" ht="8.1" customHeight="1">
      <c r="N29" s="1"/>
    </row>
    <row r="30" spans="1:19" s="8" customFormat="1" ht="30.6" customHeight="1">
      <c r="A30" s="6" t="s">
        <v>64</v>
      </c>
      <c r="B30" s="317" t="s">
        <v>65</v>
      </c>
      <c r="C30" s="318"/>
      <c r="D30" s="318"/>
      <c r="E30" s="318"/>
      <c r="F30" s="329"/>
      <c r="G30" s="317" t="s">
        <v>66</v>
      </c>
      <c r="H30" s="329"/>
      <c r="I30" s="13" t="s">
        <v>67</v>
      </c>
      <c r="J30" s="6" t="s">
        <v>44</v>
      </c>
      <c r="K30" s="7" t="s">
        <v>68</v>
      </c>
      <c r="L30" s="317" t="s">
        <v>70</v>
      </c>
      <c r="M30" s="318"/>
      <c r="N30" s="31"/>
      <c r="O30" s="333" t="s">
        <v>71</v>
      </c>
      <c r="P30" s="333"/>
      <c r="Q30" s="333"/>
      <c r="R30" s="333"/>
      <c r="S30" s="333"/>
    </row>
    <row r="31" spans="1:19" ht="49.35" customHeight="1">
      <c r="A31" s="2"/>
      <c r="B31" s="322"/>
      <c r="C31" s="323"/>
      <c r="D31" s="323"/>
      <c r="E31" s="323"/>
      <c r="F31" s="324"/>
      <c r="G31" s="108"/>
      <c r="H31" s="109"/>
      <c r="I31" s="77"/>
      <c r="J31" s="73" t="s">
        <v>47</v>
      </c>
      <c r="K31" s="5"/>
      <c r="L31" s="327"/>
      <c r="M31" s="328"/>
      <c r="O31" s="314" t="s">
        <v>73</v>
      </c>
      <c r="P31" s="315"/>
      <c r="Q31" s="315"/>
      <c r="R31" s="315"/>
      <c r="S31" s="316"/>
    </row>
    <row r="32" spans="1:19" ht="30.6" customHeight="1">
      <c r="A32" s="4"/>
      <c r="L32" s="226"/>
      <c r="M32" s="226"/>
      <c r="N32" s="1"/>
    </row>
    <row r="33" spans="1:19" ht="16.350000000000001" customHeight="1">
      <c r="A33" s="325" t="s">
        <v>194</v>
      </c>
      <c r="B33" s="326"/>
      <c r="C33" s="326"/>
      <c r="D33" s="326"/>
      <c r="E33" s="326"/>
      <c r="F33" s="326"/>
      <c r="G33" s="326"/>
      <c r="H33" s="326"/>
      <c r="I33" s="326"/>
      <c r="J33" s="326"/>
      <c r="K33" s="326"/>
      <c r="L33" s="326"/>
      <c r="M33" s="326"/>
      <c r="N33" s="1"/>
    </row>
    <row r="34" spans="1:19" ht="17.100000000000001" customHeight="1">
      <c r="N34" s="1"/>
    </row>
    <row r="35" spans="1:19" s="12" customFormat="1" ht="30.6" customHeight="1">
      <c r="A35" s="6" t="s">
        <v>124</v>
      </c>
      <c r="B35" s="302" t="s">
        <v>125</v>
      </c>
      <c r="C35" s="303"/>
      <c r="D35" s="303"/>
      <c r="E35" s="303"/>
      <c r="F35" s="303"/>
      <c r="G35" s="303"/>
      <c r="H35" s="304"/>
      <c r="I35" s="13"/>
      <c r="J35" s="6" t="s">
        <v>44</v>
      </c>
      <c r="K35" s="7" t="s">
        <v>68</v>
      </c>
      <c r="L35" s="317" t="s">
        <v>70</v>
      </c>
      <c r="M35" s="318"/>
      <c r="N35" s="30"/>
      <c r="O35" s="330" t="s">
        <v>71</v>
      </c>
      <c r="P35" s="331"/>
      <c r="Q35" s="331"/>
      <c r="R35" s="331"/>
      <c r="S35" s="332"/>
    </row>
    <row r="36" spans="1:19" ht="30.6" customHeight="1">
      <c r="A36" s="2">
        <v>1</v>
      </c>
      <c r="B36" s="210"/>
      <c r="C36" s="211"/>
      <c r="D36" s="211"/>
      <c r="E36" s="211"/>
      <c r="F36" s="211"/>
      <c r="G36" s="211"/>
      <c r="H36" s="212"/>
      <c r="I36" s="3"/>
      <c r="J36" s="64" t="s">
        <v>47</v>
      </c>
      <c r="K36" s="5"/>
      <c r="L36" s="286"/>
      <c r="M36" s="286"/>
      <c r="O36" s="314" t="s">
        <v>73</v>
      </c>
      <c r="P36" s="315"/>
      <c r="Q36" s="315"/>
      <c r="R36" s="315"/>
      <c r="S36" s="316"/>
    </row>
    <row r="37" spans="1:19" ht="30.6" customHeight="1">
      <c r="A37" s="2">
        <v>2</v>
      </c>
      <c r="B37" s="210"/>
      <c r="C37" s="211"/>
      <c r="D37" s="211"/>
      <c r="E37" s="211"/>
      <c r="F37" s="211"/>
      <c r="G37" s="211"/>
      <c r="H37" s="212"/>
      <c r="I37" s="3"/>
      <c r="J37" s="64" t="s">
        <v>47</v>
      </c>
      <c r="K37" s="5"/>
      <c r="L37" s="286"/>
      <c r="M37" s="286"/>
      <c r="O37" s="314" t="s">
        <v>73</v>
      </c>
      <c r="P37" s="315"/>
      <c r="Q37" s="315"/>
      <c r="R37" s="315"/>
      <c r="S37" s="316"/>
    </row>
    <row r="38" spans="1:19" ht="30.6" customHeight="1">
      <c r="N38" s="1"/>
    </row>
    <row r="39" spans="1:19">
      <c r="N39" s="1"/>
    </row>
    <row r="40" spans="1:19">
      <c r="N40" s="1"/>
    </row>
    <row r="41" spans="1:19">
      <c r="N41" s="1"/>
    </row>
    <row r="42" spans="1:19">
      <c r="N42" s="1"/>
    </row>
    <row r="43" spans="1:19">
      <c r="N43" s="1"/>
    </row>
    <row r="44" spans="1:19">
      <c r="N44" s="1"/>
    </row>
    <row r="45" spans="1:19">
      <c r="N45" s="1"/>
    </row>
    <row r="46" spans="1:19">
      <c r="N46" s="1"/>
    </row>
    <row r="47" spans="1:19">
      <c r="N47" s="1"/>
    </row>
    <row r="48" spans="1:19">
      <c r="N48" s="1"/>
    </row>
    <row r="49" spans="14:14">
      <c r="N49" s="1"/>
    </row>
    <row r="50" spans="14:14">
      <c r="N50" s="1"/>
    </row>
    <row r="51" spans="14:14">
      <c r="N51" s="1"/>
    </row>
    <row r="52" spans="14:14">
      <c r="N52" s="1"/>
    </row>
    <row r="53" spans="14:14">
      <c r="N53" s="1"/>
    </row>
    <row r="54" spans="14:14">
      <c r="N54" s="1"/>
    </row>
    <row r="55" spans="14:14">
      <c r="N55" s="1"/>
    </row>
    <row r="56" spans="14:14">
      <c r="N56" s="1"/>
    </row>
    <row r="57" spans="14:14">
      <c r="N57" s="1"/>
    </row>
    <row r="58" spans="14:14">
      <c r="N58" s="1"/>
    </row>
    <row r="59" spans="14:14">
      <c r="N59" s="1"/>
    </row>
    <row r="60" spans="14:14">
      <c r="N60" s="1"/>
    </row>
    <row r="61" spans="14:14">
      <c r="N61" s="1"/>
    </row>
    <row r="62" spans="14:14">
      <c r="N62" s="1"/>
    </row>
    <row r="63" spans="14:14">
      <c r="N63" s="1"/>
    </row>
    <row r="64" spans="14:14">
      <c r="N64" s="1"/>
    </row>
    <row r="65" spans="14:14">
      <c r="N65" s="1"/>
    </row>
    <row r="66" spans="14:14">
      <c r="N66" s="1"/>
    </row>
    <row r="67" spans="14:14">
      <c r="N67" s="1"/>
    </row>
    <row r="68" spans="14:14">
      <c r="N68" s="1"/>
    </row>
    <row r="69" spans="14:14">
      <c r="N69" s="1"/>
    </row>
    <row r="70" spans="14:14">
      <c r="N70" s="1"/>
    </row>
    <row r="71" spans="14:14">
      <c r="N71" s="1"/>
    </row>
    <row r="72" spans="14:14">
      <c r="N72" s="1"/>
    </row>
    <row r="73" spans="14:14">
      <c r="N73" s="1"/>
    </row>
    <row r="74" spans="14:14">
      <c r="N74" s="1"/>
    </row>
    <row r="75" spans="14:14">
      <c r="N75" s="1"/>
    </row>
    <row r="76" spans="14:14">
      <c r="N76" s="1"/>
    </row>
    <row r="77" spans="14:14">
      <c r="N77" s="1"/>
    </row>
    <row r="78" spans="14:14">
      <c r="N78" s="1"/>
    </row>
    <row r="79" spans="14:14">
      <c r="N79" s="1"/>
    </row>
    <row r="80" spans="14:14">
      <c r="N80" s="1"/>
    </row>
    <row r="81" spans="14:14">
      <c r="N81" s="1"/>
    </row>
    <row r="82" spans="14:14">
      <c r="N82" s="1"/>
    </row>
    <row r="83" spans="14:14">
      <c r="N83" s="1"/>
    </row>
    <row r="84" spans="14:14">
      <c r="N84" s="1"/>
    </row>
    <row r="85" spans="14:14">
      <c r="N85" s="1"/>
    </row>
    <row r="86" spans="14:14">
      <c r="N86" s="1"/>
    </row>
    <row r="87" spans="14:14">
      <c r="N87" s="1"/>
    </row>
    <row r="88" spans="14:14">
      <c r="N88" s="1"/>
    </row>
    <row r="89" spans="14:14">
      <c r="N89" s="1"/>
    </row>
    <row r="90" spans="14:14">
      <c r="N90" s="1"/>
    </row>
    <row r="91" spans="14:14">
      <c r="N91" s="1"/>
    </row>
    <row r="92" spans="14:14">
      <c r="N92" s="1"/>
    </row>
    <row r="93" spans="14:14">
      <c r="N93" s="1"/>
    </row>
    <row r="94" spans="14:14">
      <c r="N94" s="1"/>
    </row>
    <row r="95" spans="14:14">
      <c r="N95" s="1"/>
    </row>
    <row r="96" spans="14:14">
      <c r="N96" s="1"/>
    </row>
    <row r="97" spans="14:14">
      <c r="N97" s="1"/>
    </row>
    <row r="98" spans="14:14">
      <c r="N98" s="1"/>
    </row>
    <row r="99" spans="14:14">
      <c r="N99" s="1"/>
    </row>
    <row r="100" spans="14:14">
      <c r="N100" s="1"/>
    </row>
    <row r="101" spans="14:14">
      <c r="N101" s="1"/>
    </row>
    <row r="102" spans="14:14">
      <c r="N102" s="1"/>
    </row>
    <row r="103" spans="14:14">
      <c r="N103" s="1"/>
    </row>
    <row r="104" spans="14:14">
      <c r="N104" s="1"/>
    </row>
    <row r="105" spans="14:14">
      <c r="N105" s="1"/>
    </row>
    <row r="106" spans="14:14">
      <c r="N106" s="1"/>
    </row>
    <row r="107" spans="14:14">
      <c r="N107" s="1"/>
    </row>
    <row r="108" spans="14:14">
      <c r="N108" s="1"/>
    </row>
    <row r="109" spans="14:14">
      <c r="N109" s="1"/>
    </row>
    <row r="110" spans="14:14">
      <c r="N110" s="1"/>
    </row>
    <row r="111" spans="14:14">
      <c r="N111" s="1"/>
    </row>
    <row r="112" spans="14:14">
      <c r="N112" s="1"/>
    </row>
    <row r="113" spans="14:14">
      <c r="N113" s="1"/>
    </row>
    <row r="114" spans="14:14">
      <c r="N114" s="1"/>
    </row>
    <row r="115" spans="14:14">
      <c r="N115" s="1"/>
    </row>
    <row r="116" spans="14:14">
      <c r="N116" s="1"/>
    </row>
    <row r="117" spans="14:14">
      <c r="N117" s="1"/>
    </row>
    <row r="118" spans="14:14">
      <c r="N118" s="1"/>
    </row>
    <row r="119" spans="14:14">
      <c r="N119" s="1"/>
    </row>
    <row r="120" spans="14:14">
      <c r="N120" s="1"/>
    </row>
    <row r="121" spans="14:14">
      <c r="N121" s="1"/>
    </row>
    <row r="122" spans="14:14">
      <c r="N122" s="1"/>
    </row>
    <row r="123" spans="14:14">
      <c r="N123" s="1"/>
    </row>
    <row r="124" spans="14:14">
      <c r="N124" s="1"/>
    </row>
    <row r="125" spans="14:14">
      <c r="N125" s="1"/>
    </row>
    <row r="126" spans="14:14">
      <c r="N126" s="1"/>
    </row>
    <row r="127" spans="14:14">
      <c r="N127" s="1"/>
    </row>
    <row r="128" spans="14:14">
      <c r="N128" s="1"/>
    </row>
    <row r="129" spans="14:14">
      <c r="N129" s="1"/>
    </row>
    <row r="130" spans="14:14">
      <c r="N130" s="1"/>
    </row>
    <row r="131" spans="14:14">
      <c r="N131" s="1"/>
    </row>
    <row r="132" spans="14:14">
      <c r="N132" s="1"/>
    </row>
    <row r="133" spans="14:14">
      <c r="N133" s="1"/>
    </row>
    <row r="134" spans="14:14">
      <c r="N134" s="1"/>
    </row>
    <row r="135" spans="14:14">
      <c r="N135" s="1"/>
    </row>
    <row r="136" spans="14:14">
      <c r="N136" s="1"/>
    </row>
    <row r="137" spans="14:14">
      <c r="N137" s="1"/>
    </row>
    <row r="138" spans="14:14">
      <c r="N138" s="1"/>
    </row>
    <row r="139" spans="14:14">
      <c r="N139" s="1"/>
    </row>
    <row r="140" spans="14:14">
      <c r="N140" s="1"/>
    </row>
    <row r="141" spans="14:14">
      <c r="N141" s="1"/>
    </row>
    <row r="142" spans="14:14">
      <c r="N142" s="1"/>
    </row>
    <row r="143" spans="14:14">
      <c r="N143" s="1"/>
    </row>
    <row r="144" spans="14:14">
      <c r="N144" s="1"/>
    </row>
    <row r="145" spans="14:14">
      <c r="N145" s="1"/>
    </row>
    <row r="146" spans="14:14">
      <c r="N146" s="1"/>
    </row>
    <row r="147" spans="14:14">
      <c r="N147" s="1"/>
    </row>
    <row r="148" spans="14:14">
      <c r="N148" s="1"/>
    </row>
    <row r="149" spans="14:14">
      <c r="N149" s="1"/>
    </row>
    <row r="150" spans="14:14">
      <c r="N150" s="1"/>
    </row>
    <row r="151" spans="14:14">
      <c r="N151" s="1"/>
    </row>
    <row r="152" spans="14:14">
      <c r="N152" s="1"/>
    </row>
    <row r="153" spans="14:14">
      <c r="N153" s="1"/>
    </row>
    <row r="154" spans="14:14">
      <c r="N154" s="1"/>
    </row>
    <row r="155" spans="14:14">
      <c r="N155" s="1"/>
    </row>
    <row r="156" spans="14:14">
      <c r="N156" s="1"/>
    </row>
    <row r="157" spans="14:14">
      <c r="N157" s="1"/>
    </row>
    <row r="158" spans="14:14">
      <c r="N158" s="1"/>
    </row>
    <row r="159" spans="14:14">
      <c r="N159" s="1"/>
    </row>
    <row r="160" spans="14:14">
      <c r="N160" s="1"/>
    </row>
    <row r="161" spans="14:14">
      <c r="N161" s="1"/>
    </row>
    <row r="162" spans="14:14">
      <c r="N162" s="1"/>
    </row>
    <row r="163" spans="14:14">
      <c r="N163" s="1"/>
    </row>
    <row r="164" spans="14:14">
      <c r="N164" s="1"/>
    </row>
    <row r="165" spans="14:14">
      <c r="N165" s="1"/>
    </row>
    <row r="166" spans="14:14">
      <c r="N166" s="1"/>
    </row>
    <row r="167" spans="14:14">
      <c r="N167" s="1"/>
    </row>
    <row r="168" spans="14:14">
      <c r="N168" s="1"/>
    </row>
    <row r="169" spans="14:14">
      <c r="N169" s="1"/>
    </row>
    <row r="170" spans="14:14">
      <c r="N170" s="1"/>
    </row>
    <row r="171" spans="14:14">
      <c r="N171" s="1"/>
    </row>
    <row r="172" spans="14:14">
      <c r="N172" s="1"/>
    </row>
    <row r="173" spans="14:14">
      <c r="N173" s="1"/>
    </row>
    <row r="174" spans="14:14">
      <c r="N174" s="1"/>
    </row>
    <row r="175" spans="14:14">
      <c r="N175" s="1"/>
    </row>
    <row r="176" spans="14:14">
      <c r="N176" s="1"/>
    </row>
    <row r="177" spans="14:14">
      <c r="N177" s="1"/>
    </row>
    <row r="178" spans="14:14">
      <c r="N178" s="1"/>
    </row>
    <row r="179" spans="14:14">
      <c r="N179" s="1"/>
    </row>
    <row r="180" spans="14:14">
      <c r="N180" s="1"/>
    </row>
    <row r="181" spans="14:14">
      <c r="N181" s="1"/>
    </row>
    <row r="182" spans="14:14">
      <c r="N182" s="1"/>
    </row>
    <row r="183" spans="14:14">
      <c r="N183" s="1"/>
    </row>
    <row r="184" spans="14:14">
      <c r="N184" s="1"/>
    </row>
    <row r="185" spans="14:14">
      <c r="N185" s="1"/>
    </row>
    <row r="186" spans="14:14">
      <c r="N186" s="1"/>
    </row>
    <row r="187" spans="14:14">
      <c r="N187" s="1"/>
    </row>
    <row r="188" spans="14:14">
      <c r="N188" s="1"/>
    </row>
    <row r="189" spans="14:14">
      <c r="N189" s="1"/>
    </row>
    <row r="190" spans="14:14">
      <c r="N190" s="1"/>
    </row>
    <row r="191" spans="14:14">
      <c r="N191" s="1"/>
    </row>
    <row r="192" spans="14:14">
      <c r="N192" s="1"/>
    </row>
    <row r="193" spans="14:14">
      <c r="N193" s="1"/>
    </row>
    <row r="194" spans="14:14">
      <c r="N194" s="1"/>
    </row>
    <row r="195" spans="14:14">
      <c r="N195" s="1"/>
    </row>
    <row r="196" spans="14:14">
      <c r="N196" s="1"/>
    </row>
    <row r="197" spans="14:14">
      <c r="N197" s="1"/>
    </row>
    <row r="198" spans="14:14">
      <c r="N198" s="1"/>
    </row>
    <row r="199" spans="14:14">
      <c r="N199" s="1"/>
    </row>
    <row r="200" spans="14:14">
      <c r="N200" s="1"/>
    </row>
    <row r="201" spans="14:14">
      <c r="N201" s="1"/>
    </row>
    <row r="202" spans="14:14">
      <c r="N202" s="1"/>
    </row>
    <row r="203" spans="14:14">
      <c r="N203" s="1"/>
    </row>
    <row r="204" spans="14:14">
      <c r="N204" s="1"/>
    </row>
    <row r="205" spans="14:14">
      <c r="N205" s="1"/>
    </row>
    <row r="206" spans="14:14">
      <c r="N206" s="1"/>
    </row>
    <row r="207" spans="14:14">
      <c r="N207" s="1"/>
    </row>
    <row r="208" spans="14:14">
      <c r="N208" s="1"/>
    </row>
    <row r="209" spans="14:14">
      <c r="N209" s="1"/>
    </row>
    <row r="210" spans="14:14">
      <c r="N210" s="1"/>
    </row>
    <row r="211" spans="14:14">
      <c r="N211" s="1"/>
    </row>
    <row r="212" spans="14:14">
      <c r="N212" s="1"/>
    </row>
    <row r="213" spans="14:14">
      <c r="N213" s="1"/>
    </row>
    <row r="214" spans="14:14">
      <c r="N214" s="1"/>
    </row>
    <row r="215" spans="14:14">
      <c r="N215" s="1"/>
    </row>
    <row r="216" spans="14:14">
      <c r="N216" s="1"/>
    </row>
    <row r="217" spans="14:14">
      <c r="N217" s="1"/>
    </row>
    <row r="218" spans="14:14">
      <c r="N218" s="1"/>
    </row>
    <row r="219" spans="14:14">
      <c r="N219" s="1"/>
    </row>
    <row r="220" spans="14:14">
      <c r="N220" s="1"/>
    </row>
    <row r="221" spans="14:14">
      <c r="N221" s="1"/>
    </row>
    <row r="222" spans="14:14">
      <c r="N222" s="1"/>
    </row>
    <row r="223" spans="14:14">
      <c r="N223" s="1"/>
    </row>
    <row r="224" spans="14:14">
      <c r="N224" s="1"/>
    </row>
    <row r="225" spans="14:14">
      <c r="N225" s="1"/>
    </row>
    <row r="226" spans="14:14">
      <c r="N226" s="1"/>
    </row>
    <row r="227" spans="14:14">
      <c r="N227" s="1"/>
    </row>
    <row r="228" spans="14:14">
      <c r="N228" s="1"/>
    </row>
    <row r="229" spans="14:14">
      <c r="N229" s="1"/>
    </row>
    <row r="230" spans="14:14">
      <c r="N230" s="1"/>
    </row>
    <row r="231" spans="14:14">
      <c r="N231" s="1"/>
    </row>
    <row r="232" spans="14:14">
      <c r="N232" s="1"/>
    </row>
    <row r="233" spans="14:14">
      <c r="N233" s="1"/>
    </row>
    <row r="234" spans="14:14">
      <c r="N234" s="1"/>
    </row>
    <row r="235" spans="14:14">
      <c r="N235" s="1"/>
    </row>
    <row r="236" spans="14:14">
      <c r="N236" s="1"/>
    </row>
    <row r="237" spans="14:14">
      <c r="N237" s="1"/>
    </row>
    <row r="238" spans="14:14">
      <c r="N238" s="1"/>
    </row>
    <row r="239" spans="14:14">
      <c r="N239" s="1"/>
    </row>
    <row r="240" spans="14:14">
      <c r="N240" s="1"/>
    </row>
    <row r="241" spans="14:14">
      <c r="N241" s="1"/>
    </row>
    <row r="242" spans="14:14">
      <c r="N242" s="1"/>
    </row>
    <row r="243" spans="14:14">
      <c r="N243" s="1"/>
    </row>
    <row r="244" spans="14:14">
      <c r="N244" s="1"/>
    </row>
    <row r="245" spans="14:14">
      <c r="N245" s="1"/>
    </row>
    <row r="246" spans="14:14">
      <c r="N246" s="1"/>
    </row>
    <row r="247" spans="14:14">
      <c r="N247" s="1"/>
    </row>
    <row r="248" spans="14:14">
      <c r="N248" s="1"/>
    </row>
    <row r="249" spans="14:14">
      <c r="N249" s="1"/>
    </row>
    <row r="250" spans="14:14">
      <c r="N250" s="1"/>
    </row>
    <row r="251" spans="14:14">
      <c r="N251" s="1"/>
    </row>
    <row r="252" spans="14:14">
      <c r="N252" s="1"/>
    </row>
    <row r="253" spans="14:14">
      <c r="N253" s="1"/>
    </row>
    <row r="254" spans="14:14">
      <c r="N254" s="1"/>
    </row>
    <row r="255" spans="14:14">
      <c r="N255" s="1"/>
    </row>
    <row r="256" spans="14:14">
      <c r="N256" s="1"/>
    </row>
    <row r="257" spans="14:14">
      <c r="N257" s="1"/>
    </row>
    <row r="258" spans="14:14">
      <c r="N258" s="1"/>
    </row>
    <row r="259" spans="14:14">
      <c r="N259" s="1"/>
    </row>
    <row r="260" spans="14:14">
      <c r="N260" s="1"/>
    </row>
    <row r="261" spans="14:14">
      <c r="N261" s="1"/>
    </row>
    <row r="262" spans="14:14">
      <c r="N262" s="1"/>
    </row>
    <row r="263" spans="14:14">
      <c r="N263" s="1"/>
    </row>
    <row r="264" spans="14:14">
      <c r="N264" s="1"/>
    </row>
    <row r="265" spans="14:14">
      <c r="N265" s="1"/>
    </row>
    <row r="266" spans="14:14">
      <c r="N266" s="1"/>
    </row>
    <row r="267" spans="14:14">
      <c r="N267" s="1"/>
    </row>
    <row r="268" spans="14:14">
      <c r="N268" s="1"/>
    </row>
    <row r="269" spans="14:14">
      <c r="N269" s="1"/>
    </row>
    <row r="270" spans="14:14">
      <c r="N270" s="1"/>
    </row>
    <row r="271" spans="14:14">
      <c r="N271" s="1"/>
    </row>
    <row r="272" spans="14:14">
      <c r="N272" s="1"/>
    </row>
    <row r="273" spans="14:14">
      <c r="N273" s="1"/>
    </row>
    <row r="274" spans="14:14">
      <c r="N274" s="1"/>
    </row>
    <row r="275" spans="14:14">
      <c r="N275" s="1"/>
    </row>
    <row r="276" spans="14:14">
      <c r="N276" s="1"/>
    </row>
    <row r="277" spans="14:14">
      <c r="N277" s="1"/>
    </row>
    <row r="278" spans="14:14">
      <c r="N278" s="1"/>
    </row>
    <row r="279" spans="14:14">
      <c r="N279" s="1"/>
    </row>
    <row r="280" spans="14:14">
      <c r="N280" s="1"/>
    </row>
    <row r="281" spans="14:14">
      <c r="N281" s="1"/>
    </row>
    <row r="282" spans="14:14">
      <c r="N282" s="1"/>
    </row>
    <row r="283" spans="14:14">
      <c r="N283" s="1"/>
    </row>
    <row r="284" spans="14:14">
      <c r="N284" s="1"/>
    </row>
    <row r="285" spans="14:14">
      <c r="N285" s="1"/>
    </row>
    <row r="286" spans="14:14">
      <c r="N286" s="1"/>
    </row>
    <row r="287" spans="14:14">
      <c r="N287" s="1"/>
    </row>
    <row r="288" spans="14:14">
      <c r="N288" s="1"/>
    </row>
    <row r="289" spans="14:14">
      <c r="N289" s="1"/>
    </row>
    <row r="290" spans="14:14">
      <c r="N290" s="1"/>
    </row>
    <row r="291" spans="14:14">
      <c r="N291" s="1"/>
    </row>
    <row r="292" spans="14:14">
      <c r="N292" s="1"/>
    </row>
    <row r="293" spans="14:14">
      <c r="N293" s="1"/>
    </row>
    <row r="294" spans="14:14">
      <c r="N294" s="1"/>
    </row>
    <row r="295" spans="14:14">
      <c r="N295" s="1"/>
    </row>
    <row r="296" spans="14:14">
      <c r="N296" s="1"/>
    </row>
    <row r="297" spans="14:14">
      <c r="N297" s="1"/>
    </row>
    <row r="298" spans="14:14">
      <c r="N298" s="1"/>
    </row>
    <row r="299" spans="14:14">
      <c r="N299" s="1"/>
    </row>
    <row r="300" spans="14:14">
      <c r="N300" s="1"/>
    </row>
    <row r="301" spans="14:14">
      <c r="N301" s="1"/>
    </row>
    <row r="302" spans="14:14">
      <c r="N302" s="1"/>
    </row>
    <row r="303" spans="14:14">
      <c r="N303" s="1"/>
    </row>
    <row r="304" spans="14:14">
      <c r="N304" s="1"/>
    </row>
    <row r="305" spans="14:14">
      <c r="N305" s="1"/>
    </row>
    <row r="306" spans="14:14">
      <c r="N306" s="1"/>
    </row>
    <row r="307" spans="14:14">
      <c r="N307" s="1"/>
    </row>
    <row r="308" spans="14:14">
      <c r="N308" s="1"/>
    </row>
    <row r="309" spans="14:14">
      <c r="N309" s="1"/>
    </row>
    <row r="310" spans="14:14">
      <c r="N310" s="1"/>
    </row>
    <row r="311" spans="14:14">
      <c r="N311" s="1"/>
    </row>
    <row r="312" spans="14:14">
      <c r="N312" s="1"/>
    </row>
    <row r="313" spans="14:14">
      <c r="N313" s="1"/>
    </row>
    <row r="314" spans="14:14">
      <c r="N314" s="1"/>
    </row>
    <row r="315" spans="14:14">
      <c r="N315" s="1"/>
    </row>
    <row r="316" spans="14:14">
      <c r="N316" s="1"/>
    </row>
    <row r="317" spans="14:14">
      <c r="N317" s="1"/>
    </row>
    <row r="318" spans="14:14">
      <c r="N318" s="1"/>
    </row>
    <row r="319" spans="14:14">
      <c r="N319" s="1"/>
    </row>
    <row r="320" spans="14:14">
      <c r="N320" s="1"/>
    </row>
    <row r="321" spans="14:14">
      <c r="N321" s="1"/>
    </row>
    <row r="322" spans="14:14">
      <c r="N322" s="1"/>
    </row>
    <row r="323" spans="14:14">
      <c r="N323" s="1"/>
    </row>
    <row r="324" spans="14:14">
      <c r="N324" s="1"/>
    </row>
    <row r="325" spans="14:14">
      <c r="N325" s="1"/>
    </row>
    <row r="326" spans="14:14">
      <c r="N326" s="1"/>
    </row>
    <row r="327" spans="14:14">
      <c r="N327" s="1"/>
    </row>
    <row r="328" spans="14:14">
      <c r="N328" s="1"/>
    </row>
    <row r="329" spans="14:14">
      <c r="N329" s="1"/>
    </row>
    <row r="330" spans="14:14">
      <c r="N330" s="1"/>
    </row>
    <row r="331" spans="14:14">
      <c r="N331" s="1"/>
    </row>
    <row r="332" spans="14:14">
      <c r="N332" s="1"/>
    </row>
    <row r="333" spans="14:14">
      <c r="N333" s="1"/>
    </row>
    <row r="334" spans="14:14">
      <c r="N334" s="1"/>
    </row>
    <row r="335" spans="14:14">
      <c r="N335" s="1"/>
    </row>
    <row r="336" spans="14:14">
      <c r="N336" s="1"/>
    </row>
    <row r="337" spans="14:14">
      <c r="N337" s="1"/>
    </row>
    <row r="338" spans="14:14">
      <c r="N338" s="1"/>
    </row>
    <row r="339" spans="14:14">
      <c r="N339" s="1"/>
    </row>
    <row r="340" spans="14:14">
      <c r="N340" s="1"/>
    </row>
    <row r="341" spans="14:14">
      <c r="N341" s="1"/>
    </row>
    <row r="342" spans="14:14">
      <c r="N342" s="1"/>
    </row>
    <row r="343" spans="14:14">
      <c r="N343" s="1"/>
    </row>
    <row r="344" spans="14:14">
      <c r="N344" s="1"/>
    </row>
    <row r="345" spans="14:14">
      <c r="N345" s="1"/>
    </row>
    <row r="346" spans="14:14">
      <c r="N346" s="1"/>
    </row>
    <row r="347" spans="14:14">
      <c r="N347" s="1"/>
    </row>
    <row r="348" spans="14:14">
      <c r="N348" s="1"/>
    </row>
    <row r="349" spans="14:14">
      <c r="N349" s="1"/>
    </row>
    <row r="350" spans="14:14">
      <c r="N350" s="1"/>
    </row>
    <row r="351" spans="14:14">
      <c r="N351" s="1"/>
    </row>
    <row r="352" spans="14:14">
      <c r="N352" s="1"/>
    </row>
    <row r="353" spans="14:14">
      <c r="N353" s="1"/>
    </row>
    <row r="354" spans="14:14">
      <c r="N354" s="1"/>
    </row>
    <row r="355" spans="14:14">
      <c r="N355" s="1"/>
    </row>
    <row r="356" spans="14:14">
      <c r="N356" s="1"/>
    </row>
    <row r="357" spans="14:14">
      <c r="N357" s="1"/>
    </row>
    <row r="358" spans="14:14">
      <c r="N358" s="1"/>
    </row>
    <row r="359" spans="14:14">
      <c r="N359" s="1"/>
    </row>
    <row r="360" spans="14:14">
      <c r="N360" s="1"/>
    </row>
    <row r="361" spans="14:14">
      <c r="N361" s="1"/>
    </row>
    <row r="362" spans="14:14">
      <c r="N362" s="1"/>
    </row>
    <row r="363" spans="14:14">
      <c r="N363" s="1"/>
    </row>
    <row r="364" spans="14:14">
      <c r="N364" s="1"/>
    </row>
    <row r="365" spans="14:14">
      <c r="N365" s="1"/>
    </row>
    <row r="366" spans="14:14">
      <c r="N366" s="1"/>
    </row>
    <row r="367" spans="14:14">
      <c r="N367" s="1"/>
    </row>
    <row r="368" spans="14:14">
      <c r="N368" s="1"/>
    </row>
    <row r="369" spans="14:14">
      <c r="N369" s="1"/>
    </row>
    <row r="370" spans="14:14">
      <c r="N370" s="1"/>
    </row>
    <row r="371" spans="14:14">
      <c r="N371" s="1"/>
    </row>
    <row r="372" spans="14:14">
      <c r="N372" s="1"/>
    </row>
    <row r="373" spans="14:14">
      <c r="N373" s="1"/>
    </row>
    <row r="374" spans="14:14">
      <c r="N374" s="1"/>
    </row>
    <row r="375" spans="14:14">
      <c r="N375" s="1"/>
    </row>
    <row r="376" spans="14:14">
      <c r="N376" s="1"/>
    </row>
    <row r="377" spans="14:14">
      <c r="N377" s="1"/>
    </row>
    <row r="378" spans="14:14">
      <c r="N378" s="1"/>
    </row>
    <row r="379" spans="14:14">
      <c r="N379" s="1"/>
    </row>
    <row r="380" spans="14:14">
      <c r="N380" s="1"/>
    </row>
    <row r="381" spans="14:14">
      <c r="N381" s="1"/>
    </row>
    <row r="382" spans="14:14">
      <c r="N382" s="1"/>
    </row>
    <row r="383" spans="14:14">
      <c r="N383" s="1"/>
    </row>
    <row r="384" spans="14:14">
      <c r="N384" s="1"/>
    </row>
    <row r="385" spans="14:14">
      <c r="N385" s="1"/>
    </row>
    <row r="386" spans="14:14">
      <c r="N386" s="1"/>
    </row>
    <row r="387" spans="14:14">
      <c r="N387" s="1"/>
    </row>
    <row r="388" spans="14:14">
      <c r="N388" s="1"/>
    </row>
    <row r="389" spans="14:14">
      <c r="N389" s="1"/>
    </row>
    <row r="390" spans="14:14">
      <c r="N390" s="1"/>
    </row>
    <row r="391" spans="14:14">
      <c r="N391" s="1"/>
    </row>
    <row r="392" spans="14:14">
      <c r="N392" s="1"/>
    </row>
    <row r="393" spans="14:14">
      <c r="N393" s="1"/>
    </row>
    <row r="394" spans="14:14">
      <c r="N394" s="1"/>
    </row>
    <row r="395" spans="14:14">
      <c r="N395" s="1"/>
    </row>
    <row r="396" spans="14:14">
      <c r="N396" s="1"/>
    </row>
    <row r="397" spans="14:14">
      <c r="N397" s="1"/>
    </row>
    <row r="398" spans="14:14">
      <c r="N398" s="1"/>
    </row>
    <row r="399" spans="14:14">
      <c r="N399" s="1"/>
    </row>
    <row r="400" spans="14:14">
      <c r="N400" s="1"/>
    </row>
    <row r="401" spans="14:14">
      <c r="N401" s="1"/>
    </row>
    <row r="402" spans="14:14">
      <c r="N402" s="1"/>
    </row>
    <row r="403" spans="14:14">
      <c r="N403" s="1"/>
    </row>
    <row r="404" spans="14:14">
      <c r="N404" s="1"/>
    </row>
    <row r="405" spans="14:14">
      <c r="N405" s="1"/>
    </row>
    <row r="406" spans="14:14">
      <c r="N406" s="1"/>
    </row>
    <row r="407" spans="14:14">
      <c r="N407" s="1"/>
    </row>
    <row r="408" spans="14:14">
      <c r="N408" s="1"/>
    </row>
    <row r="409" spans="14:14">
      <c r="N409" s="1"/>
    </row>
    <row r="410" spans="14:14">
      <c r="N410" s="1"/>
    </row>
    <row r="411" spans="14:14">
      <c r="N411" s="1"/>
    </row>
    <row r="412" spans="14:14">
      <c r="N412" s="1"/>
    </row>
    <row r="413" spans="14:14">
      <c r="N413" s="1"/>
    </row>
    <row r="414" spans="14:14">
      <c r="N414" s="1"/>
    </row>
    <row r="415" spans="14:14">
      <c r="N415" s="1"/>
    </row>
    <row r="416" spans="14:14">
      <c r="N416" s="1"/>
    </row>
    <row r="417" spans="14:14">
      <c r="N417" s="1"/>
    </row>
    <row r="418" spans="14:14">
      <c r="N418" s="1"/>
    </row>
    <row r="419" spans="14:14">
      <c r="N419" s="1"/>
    </row>
    <row r="420" spans="14:14">
      <c r="N420" s="1"/>
    </row>
    <row r="421" spans="14:14">
      <c r="N421" s="1"/>
    </row>
    <row r="422" spans="14:14">
      <c r="N422" s="1"/>
    </row>
    <row r="423" spans="14:14">
      <c r="N423" s="1"/>
    </row>
    <row r="424" spans="14:14">
      <c r="N424" s="1"/>
    </row>
    <row r="425" spans="14:14">
      <c r="N425" s="1"/>
    </row>
    <row r="426" spans="14:14">
      <c r="N426" s="1"/>
    </row>
    <row r="427" spans="14:14">
      <c r="N427" s="1"/>
    </row>
    <row r="428" spans="14:14">
      <c r="N428" s="1"/>
    </row>
    <row r="429" spans="14:14">
      <c r="N429" s="1"/>
    </row>
    <row r="430" spans="14:14">
      <c r="N430" s="1"/>
    </row>
    <row r="431" spans="14:14">
      <c r="N431" s="1"/>
    </row>
    <row r="432" spans="14:14">
      <c r="N432" s="1"/>
    </row>
    <row r="433" spans="14:14">
      <c r="N433" s="1"/>
    </row>
    <row r="434" spans="14:14">
      <c r="N434" s="1"/>
    </row>
    <row r="435" spans="14:14">
      <c r="N435" s="1"/>
    </row>
    <row r="436" spans="14:14">
      <c r="N436" s="1"/>
    </row>
    <row r="437" spans="14:14">
      <c r="N437" s="1"/>
    </row>
    <row r="438" spans="14:14">
      <c r="N438" s="1"/>
    </row>
    <row r="439" spans="14:14">
      <c r="N439" s="1"/>
    </row>
    <row r="440" spans="14:14">
      <c r="N440" s="1"/>
    </row>
    <row r="441" spans="14:14">
      <c r="N441" s="1"/>
    </row>
    <row r="442" spans="14:14">
      <c r="N442" s="1"/>
    </row>
    <row r="443" spans="14:14">
      <c r="N443" s="1"/>
    </row>
    <row r="444" spans="14:14">
      <c r="N444" s="1"/>
    </row>
    <row r="445" spans="14:14">
      <c r="N445" s="1"/>
    </row>
    <row r="446" spans="14:14">
      <c r="N446" s="1"/>
    </row>
    <row r="447" spans="14:14">
      <c r="N447" s="1"/>
    </row>
    <row r="448" spans="14:14">
      <c r="N448" s="1"/>
    </row>
    <row r="449" spans="14:14">
      <c r="N449" s="1"/>
    </row>
    <row r="450" spans="14:14">
      <c r="N450" s="1"/>
    </row>
    <row r="451" spans="14:14">
      <c r="N451" s="1"/>
    </row>
    <row r="452" spans="14:14">
      <c r="N452" s="1"/>
    </row>
    <row r="453" spans="14:14">
      <c r="N453" s="1"/>
    </row>
    <row r="454" spans="14:14">
      <c r="N454" s="1"/>
    </row>
    <row r="455" spans="14:14">
      <c r="N455" s="1"/>
    </row>
    <row r="456" spans="14:14">
      <c r="N456" s="1"/>
    </row>
    <row r="457" spans="14:14">
      <c r="N457" s="1"/>
    </row>
    <row r="458" spans="14:14">
      <c r="N458" s="1"/>
    </row>
    <row r="459" spans="14:14">
      <c r="N459" s="1"/>
    </row>
    <row r="460" spans="14:14">
      <c r="N460" s="1"/>
    </row>
    <row r="461" spans="14:14">
      <c r="N461" s="1"/>
    </row>
    <row r="462" spans="14:14">
      <c r="N462" s="1"/>
    </row>
    <row r="463" spans="14:14">
      <c r="N463" s="1"/>
    </row>
    <row r="464" spans="14:14">
      <c r="N464" s="1"/>
    </row>
    <row r="465" spans="14:14">
      <c r="N465" s="1"/>
    </row>
    <row r="466" spans="14:14">
      <c r="N466" s="1"/>
    </row>
    <row r="467" spans="14:14">
      <c r="N467" s="1"/>
    </row>
    <row r="468" spans="14:14">
      <c r="N468" s="1"/>
    </row>
    <row r="469" spans="14:14">
      <c r="N469" s="1"/>
    </row>
    <row r="470" spans="14:14">
      <c r="N470" s="1"/>
    </row>
    <row r="471" spans="14:14">
      <c r="N471" s="1"/>
    </row>
    <row r="472" spans="14:14">
      <c r="N472" s="1"/>
    </row>
    <row r="473" spans="14:14">
      <c r="N473" s="1"/>
    </row>
    <row r="474" spans="14:14">
      <c r="N474" s="1"/>
    </row>
    <row r="475" spans="14:14">
      <c r="N475" s="1"/>
    </row>
    <row r="476" spans="14:14">
      <c r="N476" s="1"/>
    </row>
    <row r="477" spans="14:14">
      <c r="N477" s="1"/>
    </row>
    <row r="478" spans="14:14">
      <c r="N478" s="1"/>
    </row>
    <row r="479" spans="14:14">
      <c r="N479" s="1"/>
    </row>
    <row r="480" spans="14:14">
      <c r="N480" s="1"/>
    </row>
    <row r="481" spans="14:14">
      <c r="N481" s="1"/>
    </row>
    <row r="482" spans="14:14">
      <c r="N482" s="1"/>
    </row>
    <row r="483" spans="14:14">
      <c r="N483" s="1"/>
    </row>
    <row r="484" spans="14:14">
      <c r="N484" s="1"/>
    </row>
    <row r="485" spans="14:14">
      <c r="N485" s="1"/>
    </row>
    <row r="486" spans="14:14">
      <c r="N486" s="1"/>
    </row>
    <row r="487" spans="14:14">
      <c r="N487" s="1"/>
    </row>
    <row r="488" spans="14:14">
      <c r="N488" s="1"/>
    </row>
    <row r="489" spans="14:14">
      <c r="N489" s="1"/>
    </row>
    <row r="490" spans="14:14">
      <c r="N490" s="1"/>
    </row>
    <row r="491" spans="14:14">
      <c r="N491" s="1"/>
    </row>
    <row r="492" spans="14:14">
      <c r="N492" s="1"/>
    </row>
    <row r="493" spans="14:14">
      <c r="N493" s="1"/>
    </row>
    <row r="494" spans="14:14">
      <c r="N494" s="1"/>
    </row>
    <row r="495" spans="14:14">
      <c r="N495" s="1"/>
    </row>
    <row r="496" spans="14:14">
      <c r="N496" s="1"/>
    </row>
    <row r="497" spans="14:14">
      <c r="N497" s="1"/>
    </row>
    <row r="498" spans="14:14">
      <c r="N498" s="1"/>
    </row>
    <row r="499" spans="14:14">
      <c r="N499" s="1"/>
    </row>
    <row r="500" spans="14:14">
      <c r="N500" s="1"/>
    </row>
    <row r="501" spans="14:14">
      <c r="N501" s="1"/>
    </row>
    <row r="502" spans="14:14">
      <c r="N502" s="1"/>
    </row>
    <row r="503" spans="14:14">
      <c r="N503" s="1"/>
    </row>
    <row r="504" spans="14:14">
      <c r="N504" s="1"/>
    </row>
    <row r="505" spans="14:14">
      <c r="N505" s="1"/>
    </row>
    <row r="506" spans="14:14">
      <c r="N506" s="1"/>
    </row>
    <row r="507" spans="14:14">
      <c r="N507" s="1"/>
    </row>
    <row r="508" spans="14:14">
      <c r="N508" s="1"/>
    </row>
    <row r="509" spans="14:14">
      <c r="N509" s="1"/>
    </row>
    <row r="510" spans="14:14">
      <c r="N510" s="1"/>
    </row>
    <row r="511" spans="14:14">
      <c r="N511" s="1"/>
    </row>
    <row r="512" spans="14:14">
      <c r="N512" s="1"/>
    </row>
    <row r="513" spans="14:14">
      <c r="N513" s="1"/>
    </row>
    <row r="514" spans="14:14">
      <c r="N514" s="1"/>
    </row>
    <row r="515" spans="14:14">
      <c r="N515" s="1"/>
    </row>
    <row r="516" spans="14:14">
      <c r="N516" s="1"/>
    </row>
    <row r="517" spans="14:14">
      <c r="N517" s="1"/>
    </row>
    <row r="518" spans="14:14">
      <c r="N518" s="1"/>
    </row>
    <row r="519" spans="14:14">
      <c r="N519" s="1"/>
    </row>
    <row r="520" spans="14:14">
      <c r="N520" s="1"/>
    </row>
    <row r="521" spans="14:14">
      <c r="N521" s="1"/>
    </row>
    <row r="522" spans="14:14">
      <c r="N522" s="1"/>
    </row>
    <row r="523" spans="14:14">
      <c r="N523" s="1"/>
    </row>
    <row r="524" spans="14:14">
      <c r="N524" s="1"/>
    </row>
    <row r="525" spans="14:14">
      <c r="N525" s="1"/>
    </row>
    <row r="526" spans="14:14">
      <c r="N526" s="1"/>
    </row>
    <row r="527" spans="14:14">
      <c r="N527" s="1"/>
    </row>
    <row r="528" spans="14:14">
      <c r="N528" s="1"/>
    </row>
    <row r="529" spans="14:14">
      <c r="N529" s="1"/>
    </row>
    <row r="530" spans="14:14">
      <c r="N530" s="1"/>
    </row>
    <row r="531" spans="14:14">
      <c r="N531" s="1"/>
    </row>
    <row r="532" spans="14:14">
      <c r="N532" s="1"/>
    </row>
    <row r="533" spans="14:14">
      <c r="N533" s="1"/>
    </row>
    <row r="534" spans="14:14">
      <c r="N534" s="1"/>
    </row>
    <row r="535" spans="14:14">
      <c r="N535" s="1"/>
    </row>
    <row r="536" spans="14:14">
      <c r="N536" s="1"/>
    </row>
    <row r="537" spans="14:14">
      <c r="N537" s="1"/>
    </row>
    <row r="538" spans="14:14">
      <c r="N538" s="1"/>
    </row>
    <row r="539" spans="14:14">
      <c r="N539" s="1"/>
    </row>
    <row r="540" spans="14:14">
      <c r="N540" s="1"/>
    </row>
    <row r="541" spans="14:14">
      <c r="N541" s="1"/>
    </row>
    <row r="542" spans="14:14">
      <c r="N542" s="1"/>
    </row>
    <row r="543" spans="14:14">
      <c r="N543" s="1"/>
    </row>
    <row r="544" spans="14:14">
      <c r="N544" s="1"/>
    </row>
    <row r="545" spans="14:14">
      <c r="N545" s="1"/>
    </row>
    <row r="546" spans="14:14">
      <c r="N546" s="1"/>
    </row>
    <row r="547" spans="14:14">
      <c r="N547" s="1"/>
    </row>
    <row r="548" spans="14:14">
      <c r="N548" s="1"/>
    </row>
    <row r="549" spans="14:14">
      <c r="N549" s="1"/>
    </row>
    <row r="550" spans="14:14">
      <c r="N550" s="1"/>
    </row>
    <row r="551" spans="14:14">
      <c r="N551" s="1"/>
    </row>
    <row r="552" spans="14:14">
      <c r="N552" s="1"/>
    </row>
    <row r="553" spans="14:14">
      <c r="N553" s="1"/>
    </row>
    <row r="554" spans="14:14">
      <c r="N554" s="1"/>
    </row>
    <row r="555" spans="14:14">
      <c r="N555" s="1"/>
    </row>
    <row r="556" spans="14:14">
      <c r="N556" s="1"/>
    </row>
    <row r="557" spans="14:14">
      <c r="N557" s="1"/>
    </row>
    <row r="558" spans="14:14">
      <c r="N558" s="1"/>
    </row>
    <row r="559" spans="14:14">
      <c r="N559" s="1"/>
    </row>
    <row r="560" spans="14:14">
      <c r="N560" s="1"/>
    </row>
    <row r="561" spans="14:14">
      <c r="N561" s="1"/>
    </row>
    <row r="562" spans="14:14">
      <c r="N562" s="1"/>
    </row>
    <row r="563" spans="14:14">
      <c r="N563" s="1"/>
    </row>
    <row r="564" spans="14:14">
      <c r="N564" s="1"/>
    </row>
    <row r="565" spans="14:14">
      <c r="N565" s="1"/>
    </row>
    <row r="566" spans="14:14">
      <c r="N566" s="1"/>
    </row>
    <row r="567" spans="14:14">
      <c r="N567" s="1"/>
    </row>
    <row r="568" spans="14:14">
      <c r="N568" s="1"/>
    </row>
    <row r="569" spans="14:14">
      <c r="N569" s="1"/>
    </row>
    <row r="570" spans="14:14">
      <c r="N570" s="1"/>
    </row>
    <row r="571" spans="14:14">
      <c r="N571" s="1"/>
    </row>
    <row r="572" spans="14:14">
      <c r="N572" s="1"/>
    </row>
    <row r="573" spans="14:14">
      <c r="N573" s="1"/>
    </row>
    <row r="574" spans="14:14">
      <c r="N574" s="1"/>
    </row>
    <row r="575" spans="14:14">
      <c r="N575" s="1"/>
    </row>
    <row r="576" spans="14:14">
      <c r="N576" s="1"/>
    </row>
    <row r="577" spans="14:14">
      <c r="N577" s="1"/>
    </row>
    <row r="578" spans="14:14">
      <c r="N578" s="1"/>
    </row>
    <row r="579" spans="14:14">
      <c r="N579" s="1"/>
    </row>
    <row r="580" spans="14:14">
      <c r="N580" s="1"/>
    </row>
    <row r="581" spans="14:14">
      <c r="N581" s="1"/>
    </row>
    <row r="582" spans="14:14">
      <c r="N582" s="1"/>
    </row>
    <row r="583" spans="14:14">
      <c r="N583" s="1"/>
    </row>
    <row r="584" spans="14:14">
      <c r="N584" s="1"/>
    </row>
    <row r="585" spans="14:14">
      <c r="N585" s="1"/>
    </row>
    <row r="586" spans="14:14">
      <c r="N586" s="1"/>
    </row>
    <row r="587" spans="14:14">
      <c r="N587" s="1"/>
    </row>
    <row r="588" spans="14:14">
      <c r="N588" s="1"/>
    </row>
    <row r="589" spans="14:14">
      <c r="N589" s="1"/>
    </row>
    <row r="590" spans="14:14">
      <c r="N590" s="1"/>
    </row>
    <row r="591" spans="14:14">
      <c r="N591" s="1"/>
    </row>
    <row r="592" spans="14:14">
      <c r="N592" s="1"/>
    </row>
    <row r="593" spans="14:14">
      <c r="N593" s="1"/>
    </row>
    <row r="594" spans="14:14">
      <c r="N594" s="1"/>
    </row>
    <row r="595" spans="14:14">
      <c r="N595" s="1"/>
    </row>
    <row r="596" spans="14:14">
      <c r="N596" s="1"/>
    </row>
    <row r="597" spans="14:14">
      <c r="N597" s="1"/>
    </row>
    <row r="598" spans="14:14">
      <c r="N598" s="1"/>
    </row>
    <row r="599" spans="14:14">
      <c r="N599" s="1"/>
    </row>
    <row r="600" spans="14:14">
      <c r="N600" s="1"/>
    </row>
    <row r="601" spans="14:14">
      <c r="N601" s="1"/>
    </row>
    <row r="602" spans="14:14">
      <c r="N602" s="1"/>
    </row>
    <row r="603" spans="14:14">
      <c r="N603" s="1"/>
    </row>
    <row r="604" spans="14:14">
      <c r="N604" s="1"/>
    </row>
    <row r="605" spans="14:14">
      <c r="N605" s="1"/>
    </row>
    <row r="606" spans="14:14">
      <c r="N606" s="1"/>
    </row>
    <row r="607" spans="14:14">
      <c r="N607" s="1"/>
    </row>
    <row r="608" spans="14:14">
      <c r="N608" s="1"/>
    </row>
    <row r="609" spans="14:14">
      <c r="N609" s="1"/>
    </row>
    <row r="610" spans="14:14">
      <c r="N610" s="1"/>
    </row>
    <row r="611" spans="14:14">
      <c r="N611" s="1"/>
    </row>
    <row r="612" spans="14:14">
      <c r="N612" s="1"/>
    </row>
    <row r="613" spans="14:14">
      <c r="N613" s="1"/>
    </row>
    <row r="614" spans="14:14">
      <c r="N614" s="1"/>
    </row>
    <row r="615" spans="14:14">
      <c r="N615" s="1"/>
    </row>
    <row r="616" spans="14:14">
      <c r="N616" s="1"/>
    </row>
    <row r="617" spans="14:14">
      <c r="N617" s="1"/>
    </row>
    <row r="618" spans="14:14">
      <c r="N618" s="1"/>
    </row>
    <row r="619" spans="14:14">
      <c r="N619" s="1"/>
    </row>
    <row r="620" spans="14:14">
      <c r="N620" s="1"/>
    </row>
    <row r="621" spans="14:14">
      <c r="N621" s="1"/>
    </row>
    <row r="622" spans="14:14">
      <c r="N622" s="1"/>
    </row>
    <row r="623" spans="14:14">
      <c r="N623" s="1"/>
    </row>
    <row r="624" spans="14:14">
      <c r="N624" s="1"/>
    </row>
    <row r="625" spans="14:14">
      <c r="N625" s="1"/>
    </row>
    <row r="626" spans="14:14">
      <c r="N626" s="1"/>
    </row>
    <row r="627" spans="14:14">
      <c r="N627" s="1"/>
    </row>
    <row r="628" spans="14:14">
      <c r="N628" s="1"/>
    </row>
    <row r="629" spans="14:14">
      <c r="N629" s="1"/>
    </row>
    <row r="630" spans="14:14">
      <c r="N630" s="1"/>
    </row>
    <row r="631" spans="14:14">
      <c r="N631" s="1"/>
    </row>
    <row r="632" spans="14:14">
      <c r="N632" s="1"/>
    </row>
    <row r="633" spans="14:14">
      <c r="N633" s="1"/>
    </row>
    <row r="634" spans="14:14">
      <c r="N634" s="1"/>
    </row>
    <row r="635" spans="14:14">
      <c r="N635" s="1"/>
    </row>
    <row r="636" spans="14:14">
      <c r="N636" s="1"/>
    </row>
    <row r="637" spans="14:14">
      <c r="N637" s="1"/>
    </row>
    <row r="638" spans="14:14">
      <c r="N638" s="1"/>
    </row>
    <row r="639" spans="14:14">
      <c r="N639" s="1"/>
    </row>
    <row r="640" spans="14:14">
      <c r="N640" s="1"/>
    </row>
    <row r="641" spans="14:14">
      <c r="N641" s="1"/>
    </row>
    <row r="642" spans="14:14">
      <c r="N642" s="1"/>
    </row>
    <row r="643" spans="14:14">
      <c r="N643" s="1"/>
    </row>
    <row r="644" spans="14:14">
      <c r="N644" s="1"/>
    </row>
    <row r="645" spans="14:14">
      <c r="N645" s="1"/>
    </row>
    <row r="646" spans="14:14">
      <c r="N646" s="1"/>
    </row>
    <row r="647" spans="14:14">
      <c r="N647" s="1"/>
    </row>
    <row r="648" spans="14:14">
      <c r="N648" s="1"/>
    </row>
    <row r="649" spans="14:14">
      <c r="N649" s="1"/>
    </row>
    <row r="650" spans="14:14">
      <c r="N650" s="1"/>
    </row>
    <row r="651" spans="14:14">
      <c r="N651" s="1"/>
    </row>
    <row r="652" spans="14:14">
      <c r="N652" s="1"/>
    </row>
    <row r="653" spans="14:14">
      <c r="N653" s="1"/>
    </row>
    <row r="654" spans="14:14">
      <c r="N654" s="1"/>
    </row>
    <row r="655" spans="14:14">
      <c r="N655" s="1"/>
    </row>
    <row r="656" spans="14:14">
      <c r="N656" s="1"/>
    </row>
    <row r="657" spans="14:14">
      <c r="N657" s="1"/>
    </row>
    <row r="658" spans="14:14">
      <c r="N658" s="1"/>
    </row>
    <row r="659" spans="14:14">
      <c r="N659" s="1"/>
    </row>
    <row r="660" spans="14:14">
      <c r="N660" s="1"/>
    </row>
    <row r="661" spans="14:14">
      <c r="N661" s="1"/>
    </row>
    <row r="662" spans="14:14">
      <c r="N662" s="1"/>
    </row>
    <row r="663" spans="14:14">
      <c r="N663" s="1"/>
    </row>
    <row r="664" spans="14:14">
      <c r="N664" s="1"/>
    </row>
    <row r="665" spans="14:14">
      <c r="N665" s="1"/>
    </row>
    <row r="666" spans="14:14">
      <c r="N666" s="1"/>
    </row>
    <row r="667" spans="14:14">
      <c r="N667" s="1"/>
    </row>
    <row r="668" spans="14:14">
      <c r="N668" s="1"/>
    </row>
    <row r="669" spans="14:14">
      <c r="N669" s="1"/>
    </row>
    <row r="670" spans="14:14">
      <c r="N670" s="1"/>
    </row>
    <row r="671" spans="14:14">
      <c r="N671" s="1"/>
    </row>
    <row r="672" spans="14:14">
      <c r="N672" s="1"/>
    </row>
    <row r="673" spans="14:14">
      <c r="N673" s="1"/>
    </row>
    <row r="674" spans="14:14">
      <c r="N674" s="1"/>
    </row>
    <row r="675" spans="14:14">
      <c r="N675" s="1"/>
    </row>
    <row r="676" spans="14:14">
      <c r="N676" s="1"/>
    </row>
    <row r="677" spans="14:14">
      <c r="N677" s="1"/>
    </row>
    <row r="678" spans="14:14">
      <c r="N678" s="1"/>
    </row>
    <row r="679" spans="14:14">
      <c r="N679" s="1"/>
    </row>
    <row r="680" spans="14:14">
      <c r="N680" s="1"/>
    </row>
    <row r="681" spans="14:14">
      <c r="N681" s="1"/>
    </row>
    <row r="682" spans="14:14">
      <c r="N682" s="1"/>
    </row>
    <row r="683" spans="14:14">
      <c r="N683" s="1"/>
    </row>
    <row r="684" spans="14:14">
      <c r="N684" s="1"/>
    </row>
    <row r="685" spans="14:14">
      <c r="N685" s="1"/>
    </row>
    <row r="686" spans="14:14">
      <c r="N686" s="1"/>
    </row>
    <row r="687" spans="14:14">
      <c r="N687" s="1"/>
    </row>
    <row r="688" spans="14:14">
      <c r="N688" s="1"/>
    </row>
    <row r="689" spans="14:14">
      <c r="N689" s="1"/>
    </row>
    <row r="690" spans="14:14">
      <c r="N690" s="1"/>
    </row>
    <row r="691" spans="14:14">
      <c r="N691" s="1"/>
    </row>
    <row r="692" spans="14:14">
      <c r="N692" s="1"/>
    </row>
    <row r="693" spans="14:14">
      <c r="N693" s="1"/>
    </row>
    <row r="694" spans="14:14">
      <c r="N694" s="1"/>
    </row>
    <row r="695" spans="14:14">
      <c r="N695" s="1"/>
    </row>
    <row r="696" spans="14:14">
      <c r="N696" s="1"/>
    </row>
    <row r="697" spans="14:14">
      <c r="N697" s="1"/>
    </row>
    <row r="698" spans="14:14">
      <c r="N698" s="1"/>
    </row>
    <row r="699" spans="14:14">
      <c r="N699" s="1"/>
    </row>
    <row r="700" spans="14:14">
      <c r="N700" s="1"/>
    </row>
    <row r="701" spans="14:14">
      <c r="N701" s="1"/>
    </row>
    <row r="702" spans="14:14">
      <c r="N702" s="1"/>
    </row>
    <row r="703" spans="14:14">
      <c r="N703" s="1"/>
    </row>
    <row r="704" spans="14:14">
      <c r="N704" s="1"/>
    </row>
    <row r="705" spans="14:14">
      <c r="N705" s="1"/>
    </row>
    <row r="706" spans="14:14">
      <c r="N706" s="1"/>
    </row>
    <row r="707" spans="14:14">
      <c r="N707" s="1"/>
    </row>
    <row r="708" spans="14:14">
      <c r="N708" s="1"/>
    </row>
    <row r="709" spans="14:14">
      <c r="N709" s="1"/>
    </row>
    <row r="710" spans="14:14">
      <c r="N710" s="1"/>
    </row>
    <row r="711" spans="14:14">
      <c r="N711" s="1"/>
    </row>
    <row r="712" spans="14:14">
      <c r="N712" s="1"/>
    </row>
    <row r="713" spans="14:14">
      <c r="N713" s="1"/>
    </row>
    <row r="714" spans="14:14">
      <c r="N714" s="1"/>
    </row>
    <row r="715" spans="14:14">
      <c r="N715" s="1"/>
    </row>
    <row r="716" spans="14:14">
      <c r="N716" s="1"/>
    </row>
    <row r="717" spans="14:14">
      <c r="N717" s="1"/>
    </row>
    <row r="718" spans="14:14">
      <c r="N718" s="1"/>
    </row>
    <row r="719" spans="14:14">
      <c r="N719" s="1"/>
    </row>
    <row r="720" spans="14:14">
      <c r="N720" s="1"/>
    </row>
    <row r="721" spans="14:14">
      <c r="N721" s="1"/>
    </row>
    <row r="722" spans="14:14">
      <c r="N722" s="1"/>
    </row>
    <row r="723" spans="14:14">
      <c r="N723" s="1"/>
    </row>
    <row r="724" spans="14:14">
      <c r="N724" s="1"/>
    </row>
    <row r="725" spans="14:14">
      <c r="N725" s="1"/>
    </row>
    <row r="726" spans="14:14">
      <c r="N726" s="1"/>
    </row>
    <row r="727" spans="14:14">
      <c r="N727" s="1"/>
    </row>
    <row r="728" spans="14:14">
      <c r="N728" s="1"/>
    </row>
    <row r="729" spans="14:14">
      <c r="N729" s="1"/>
    </row>
    <row r="730" spans="14:14">
      <c r="N730" s="1"/>
    </row>
    <row r="731" spans="14:14">
      <c r="N731" s="1"/>
    </row>
    <row r="732" spans="14:14">
      <c r="N732" s="1"/>
    </row>
    <row r="733" spans="14:14">
      <c r="N733" s="1"/>
    </row>
    <row r="734" spans="14:14">
      <c r="N734" s="1"/>
    </row>
    <row r="735" spans="14:14">
      <c r="N735" s="1"/>
    </row>
    <row r="736" spans="14:14">
      <c r="N736" s="1"/>
    </row>
    <row r="737" spans="14:14">
      <c r="N737" s="1"/>
    </row>
    <row r="738" spans="14:14">
      <c r="N738" s="1"/>
    </row>
    <row r="739" spans="14:14">
      <c r="N739" s="1"/>
    </row>
    <row r="740" spans="14:14">
      <c r="N740" s="1"/>
    </row>
    <row r="741" spans="14:14">
      <c r="N741" s="1"/>
    </row>
    <row r="742" spans="14:14">
      <c r="N742" s="1"/>
    </row>
    <row r="743" spans="14:14">
      <c r="N743" s="1"/>
    </row>
    <row r="744" spans="14:14">
      <c r="N744" s="1"/>
    </row>
    <row r="745" spans="14:14">
      <c r="N745" s="1"/>
    </row>
    <row r="746" spans="14:14">
      <c r="N746" s="1"/>
    </row>
    <row r="747" spans="14:14">
      <c r="N747" s="1"/>
    </row>
    <row r="748" spans="14:14">
      <c r="N748" s="1"/>
    </row>
    <row r="749" spans="14:14">
      <c r="N749" s="1"/>
    </row>
    <row r="750" spans="14:14">
      <c r="N750" s="1"/>
    </row>
    <row r="751" spans="14:14">
      <c r="N751" s="1"/>
    </row>
    <row r="752" spans="14:14">
      <c r="N752" s="1"/>
    </row>
    <row r="753" spans="14:14">
      <c r="N753" s="1"/>
    </row>
    <row r="754" spans="14:14">
      <c r="N754" s="1"/>
    </row>
    <row r="755" spans="14:14">
      <c r="N755" s="1"/>
    </row>
    <row r="756" spans="14:14">
      <c r="N756" s="1"/>
    </row>
    <row r="757" spans="14:14">
      <c r="N757" s="1"/>
    </row>
    <row r="758" spans="14:14">
      <c r="N758" s="1"/>
    </row>
    <row r="759" spans="14:14">
      <c r="N759" s="1"/>
    </row>
    <row r="760" spans="14:14">
      <c r="N760" s="1"/>
    </row>
    <row r="761" spans="14:14">
      <c r="N761" s="1"/>
    </row>
    <row r="762" spans="14:14">
      <c r="N762" s="1"/>
    </row>
    <row r="763" spans="14:14">
      <c r="N763" s="1"/>
    </row>
    <row r="764" spans="14:14">
      <c r="N764" s="1"/>
    </row>
    <row r="765" spans="14:14">
      <c r="N765" s="1"/>
    </row>
    <row r="766" spans="14:14">
      <c r="N766" s="1"/>
    </row>
    <row r="767" spans="14:14">
      <c r="N767" s="1"/>
    </row>
    <row r="768" spans="14:14">
      <c r="N768" s="1"/>
    </row>
    <row r="769" spans="14:14">
      <c r="N769" s="1"/>
    </row>
    <row r="770" spans="14:14">
      <c r="N770" s="1"/>
    </row>
    <row r="771" spans="14:14">
      <c r="N771" s="1"/>
    </row>
    <row r="772" spans="14:14">
      <c r="N772" s="1"/>
    </row>
    <row r="773" spans="14:14">
      <c r="N773" s="1"/>
    </row>
    <row r="774" spans="14:14">
      <c r="N774" s="1"/>
    </row>
    <row r="775" spans="14:14">
      <c r="N775" s="1"/>
    </row>
    <row r="776" spans="14:14">
      <c r="N776" s="1"/>
    </row>
    <row r="777" spans="14:14">
      <c r="N777" s="1"/>
    </row>
    <row r="778" spans="14:14">
      <c r="N778" s="1"/>
    </row>
    <row r="779" spans="14:14">
      <c r="N779" s="1"/>
    </row>
    <row r="780" spans="14:14">
      <c r="N780" s="1"/>
    </row>
    <row r="781" spans="14:14">
      <c r="N781" s="1"/>
    </row>
    <row r="782" spans="14:14">
      <c r="N782" s="1"/>
    </row>
    <row r="783" spans="14:14">
      <c r="N783" s="1"/>
    </row>
    <row r="784" spans="14:14">
      <c r="N784" s="1"/>
    </row>
    <row r="785" spans="14:14">
      <c r="N785" s="1"/>
    </row>
    <row r="786" spans="14:14">
      <c r="N786" s="1"/>
    </row>
    <row r="787" spans="14:14">
      <c r="N787" s="1"/>
    </row>
    <row r="788" spans="14:14">
      <c r="N788" s="1"/>
    </row>
    <row r="789" spans="14:14">
      <c r="N789" s="1"/>
    </row>
    <row r="790" spans="14:14">
      <c r="N790" s="1"/>
    </row>
    <row r="791" spans="14:14">
      <c r="N791" s="1"/>
    </row>
    <row r="792" spans="14:14">
      <c r="N792" s="1"/>
    </row>
    <row r="793" spans="14:14">
      <c r="N793" s="1"/>
    </row>
    <row r="794" spans="14:14">
      <c r="N794" s="1"/>
    </row>
    <row r="795" spans="14:14">
      <c r="N795" s="1"/>
    </row>
    <row r="796" spans="14:14">
      <c r="N796" s="1"/>
    </row>
    <row r="797" spans="14:14">
      <c r="N797" s="1"/>
    </row>
    <row r="798" spans="14:14">
      <c r="N798" s="1"/>
    </row>
    <row r="799" spans="14:14">
      <c r="N799" s="1"/>
    </row>
    <row r="800" spans="14:14">
      <c r="N800" s="1"/>
    </row>
    <row r="801" spans="14:14">
      <c r="N801" s="1"/>
    </row>
    <row r="802" spans="14:14">
      <c r="N802" s="1"/>
    </row>
    <row r="803" spans="14:14">
      <c r="N803" s="1"/>
    </row>
    <row r="804" spans="14:14">
      <c r="N804" s="1"/>
    </row>
    <row r="805" spans="14:14">
      <c r="N805" s="1"/>
    </row>
    <row r="806" spans="14:14">
      <c r="N806" s="1"/>
    </row>
    <row r="807" spans="14:14">
      <c r="N807" s="1"/>
    </row>
    <row r="808" spans="14:14">
      <c r="N808" s="1"/>
    </row>
    <row r="809" spans="14:14">
      <c r="N809" s="1"/>
    </row>
    <row r="810" spans="14:14">
      <c r="N810" s="1"/>
    </row>
    <row r="811" spans="14:14">
      <c r="N811" s="1"/>
    </row>
    <row r="812" spans="14:14">
      <c r="N812" s="1"/>
    </row>
    <row r="813" spans="14:14">
      <c r="N813" s="1"/>
    </row>
    <row r="814" spans="14:14">
      <c r="N814" s="1"/>
    </row>
    <row r="815" spans="14:14">
      <c r="N815" s="1"/>
    </row>
    <row r="816" spans="14:14">
      <c r="N816" s="1"/>
    </row>
    <row r="817" spans="14:14">
      <c r="N817" s="1"/>
    </row>
    <row r="818" spans="14:14">
      <c r="N818" s="1"/>
    </row>
    <row r="819" spans="14:14">
      <c r="N819" s="1"/>
    </row>
    <row r="820" spans="14:14">
      <c r="N820" s="1"/>
    </row>
    <row r="821" spans="14:14">
      <c r="N821" s="1"/>
    </row>
    <row r="822" spans="14:14">
      <c r="N822" s="1"/>
    </row>
    <row r="823" spans="14:14">
      <c r="N823" s="1"/>
    </row>
    <row r="824" spans="14:14">
      <c r="N824" s="1"/>
    </row>
    <row r="825" spans="14:14">
      <c r="N825" s="1"/>
    </row>
    <row r="826" spans="14:14">
      <c r="N826" s="1"/>
    </row>
    <row r="827" spans="14:14">
      <c r="N827" s="1"/>
    </row>
    <row r="828" spans="14:14">
      <c r="N828" s="1"/>
    </row>
    <row r="829" spans="14:14">
      <c r="N829" s="1"/>
    </row>
    <row r="830" spans="14:14">
      <c r="N830" s="1"/>
    </row>
    <row r="831" spans="14:14">
      <c r="N831" s="1"/>
    </row>
    <row r="832" spans="14:14">
      <c r="N832" s="1"/>
    </row>
    <row r="833" spans="14:14">
      <c r="N833" s="1"/>
    </row>
    <row r="834" spans="14:14">
      <c r="N834" s="1"/>
    </row>
    <row r="835" spans="14:14">
      <c r="N835" s="1"/>
    </row>
    <row r="836" spans="14:14">
      <c r="N836" s="1"/>
    </row>
    <row r="837" spans="14:14">
      <c r="N837" s="1"/>
    </row>
    <row r="838" spans="14:14">
      <c r="N838" s="1"/>
    </row>
    <row r="839" spans="14:14">
      <c r="N839" s="1"/>
    </row>
    <row r="840" spans="14:14">
      <c r="N840" s="1"/>
    </row>
    <row r="841" spans="14:14">
      <c r="N841" s="1"/>
    </row>
    <row r="842" spans="14:14">
      <c r="N842" s="1"/>
    </row>
    <row r="843" spans="14:14">
      <c r="N843" s="1"/>
    </row>
    <row r="844" spans="14:14">
      <c r="N844" s="1"/>
    </row>
    <row r="845" spans="14:14">
      <c r="N845" s="1"/>
    </row>
    <row r="846" spans="14:14">
      <c r="N846" s="1"/>
    </row>
    <row r="847" spans="14:14">
      <c r="N847" s="1"/>
    </row>
    <row r="848" spans="14:14">
      <c r="N848" s="1"/>
    </row>
    <row r="849" spans="14:14">
      <c r="N849" s="1"/>
    </row>
    <row r="850" spans="14:14">
      <c r="N850" s="1"/>
    </row>
    <row r="851" spans="14:14">
      <c r="N851" s="1"/>
    </row>
    <row r="852" spans="14:14">
      <c r="N852" s="1"/>
    </row>
    <row r="853" spans="14:14">
      <c r="N853" s="1"/>
    </row>
    <row r="854" spans="14:14">
      <c r="N854" s="1"/>
    </row>
    <row r="855" spans="14:14">
      <c r="N855" s="1"/>
    </row>
    <row r="856" spans="14:14">
      <c r="N856" s="1"/>
    </row>
    <row r="857" spans="14:14">
      <c r="N857" s="1"/>
    </row>
    <row r="858" spans="14:14">
      <c r="N858" s="1"/>
    </row>
    <row r="859" spans="14:14">
      <c r="N859" s="1"/>
    </row>
    <row r="860" spans="14:14">
      <c r="N860" s="1"/>
    </row>
    <row r="861" spans="14:14">
      <c r="N861" s="1"/>
    </row>
    <row r="862" spans="14:14">
      <c r="N862" s="1"/>
    </row>
    <row r="863" spans="14:14">
      <c r="N863" s="1"/>
    </row>
    <row r="864" spans="14:14">
      <c r="N864" s="1"/>
    </row>
    <row r="865" spans="14:14">
      <c r="N865" s="1"/>
    </row>
    <row r="866" spans="14:14">
      <c r="N866" s="1"/>
    </row>
    <row r="867" spans="14:14">
      <c r="N867" s="1"/>
    </row>
    <row r="868" spans="14:14">
      <c r="N868" s="1"/>
    </row>
    <row r="869" spans="14:14">
      <c r="N869" s="1"/>
    </row>
    <row r="870" spans="14:14">
      <c r="N870" s="1"/>
    </row>
    <row r="871" spans="14:14">
      <c r="N871" s="1"/>
    </row>
    <row r="872" spans="14:14">
      <c r="N872" s="1"/>
    </row>
    <row r="873" spans="14:14">
      <c r="N873" s="1"/>
    </row>
    <row r="874" spans="14:14">
      <c r="N874" s="1"/>
    </row>
    <row r="875" spans="14:14">
      <c r="N875" s="1"/>
    </row>
    <row r="876" spans="14:14">
      <c r="N876" s="1"/>
    </row>
    <row r="877" spans="14:14">
      <c r="N877" s="1"/>
    </row>
    <row r="878" spans="14:14">
      <c r="N878" s="1"/>
    </row>
    <row r="879" spans="14:14">
      <c r="N879" s="1"/>
    </row>
    <row r="880" spans="14:14">
      <c r="N880" s="1"/>
    </row>
    <row r="881" spans="14:14">
      <c r="N881" s="1"/>
    </row>
    <row r="882" spans="14:14">
      <c r="N882" s="1"/>
    </row>
    <row r="883" spans="14:14">
      <c r="N883" s="1"/>
    </row>
    <row r="884" spans="14:14">
      <c r="N884" s="1"/>
    </row>
    <row r="885" spans="14:14">
      <c r="N885" s="1"/>
    </row>
    <row r="886" spans="14:14">
      <c r="N886" s="1"/>
    </row>
    <row r="887" spans="14:14">
      <c r="N887" s="1"/>
    </row>
    <row r="888" spans="14:14">
      <c r="N888" s="1"/>
    </row>
    <row r="889" spans="14:14">
      <c r="N889" s="1"/>
    </row>
    <row r="890" spans="14:14">
      <c r="N890" s="1"/>
    </row>
    <row r="891" spans="14:14">
      <c r="N891" s="1"/>
    </row>
    <row r="892" spans="14:14">
      <c r="N892" s="1"/>
    </row>
    <row r="893" spans="14:14">
      <c r="N893" s="1"/>
    </row>
    <row r="894" spans="14:14">
      <c r="N894" s="1"/>
    </row>
    <row r="895" spans="14:14">
      <c r="N895" s="1"/>
    </row>
    <row r="896" spans="14:14">
      <c r="N896" s="1"/>
    </row>
    <row r="897" spans="14:14">
      <c r="N897" s="1"/>
    </row>
    <row r="898" spans="14:14">
      <c r="N898" s="1"/>
    </row>
    <row r="899" spans="14:14">
      <c r="N899" s="1"/>
    </row>
    <row r="900" spans="14:14">
      <c r="N900" s="1"/>
    </row>
    <row r="901" spans="14:14">
      <c r="N901" s="1"/>
    </row>
    <row r="902" spans="14:14">
      <c r="N902" s="1"/>
    </row>
    <row r="903" spans="14:14">
      <c r="N903" s="1"/>
    </row>
    <row r="904" spans="14:14">
      <c r="N904" s="1"/>
    </row>
    <row r="905" spans="14:14">
      <c r="N905" s="1"/>
    </row>
    <row r="906" spans="14:14">
      <c r="N906" s="1"/>
    </row>
    <row r="907" spans="14:14">
      <c r="N907" s="1"/>
    </row>
    <row r="908" spans="14:14">
      <c r="N908" s="1"/>
    </row>
    <row r="909" spans="14:14">
      <c r="N909" s="1"/>
    </row>
    <row r="910" spans="14:14">
      <c r="N910" s="1"/>
    </row>
    <row r="911" spans="14:14">
      <c r="N911" s="1"/>
    </row>
    <row r="912" spans="14:14">
      <c r="N912" s="1"/>
    </row>
    <row r="913" spans="14:14">
      <c r="N913" s="1"/>
    </row>
    <row r="914" spans="14:14">
      <c r="N914" s="1"/>
    </row>
    <row r="915" spans="14:14">
      <c r="N915" s="1"/>
    </row>
    <row r="916" spans="14:14">
      <c r="N916" s="1"/>
    </row>
    <row r="917" spans="14:14">
      <c r="N917" s="1"/>
    </row>
    <row r="918" spans="14:14">
      <c r="N918" s="1"/>
    </row>
    <row r="919" spans="14:14">
      <c r="N919" s="1"/>
    </row>
    <row r="920" spans="14:14">
      <c r="N920" s="1"/>
    </row>
    <row r="921" spans="14:14">
      <c r="N921" s="1"/>
    </row>
    <row r="922" spans="14:14">
      <c r="N922" s="1"/>
    </row>
    <row r="923" spans="14:14">
      <c r="N923" s="1"/>
    </row>
    <row r="924" spans="14:14">
      <c r="N924" s="1"/>
    </row>
    <row r="925" spans="14:14">
      <c r="N925" s="1"/>
    </row>
    <row r="926" spans="14:14">
      <c r="N926" s="1"/>
    </row>
    <row r="927" spans="14:14">
      <c r="N927" s="1"/>
    </row>
    <row r="928" spans="14:14">
      <c r="N928" s="1"/>
    </row>
    <row r="929" spans="14:14">
      <c r="N929" s="1"/>
    </row>
    <row r="930" spans="14:14">
      <c r="N930" s="1"/>
    </row>
    <row r="931" spans="14:14">
      <c r="N931" s="1"/>
    </row>
    <row r="932" spans="14:14">
      <c r="N932" s="1"/>
    </row>
    <row r="933" spans="14:14">
      <c r="N933" s="1"/>
    </row>
    <row r="934" spans="14:14">
      <c r="N934" s="1"/>
    </row>
    <row r="935" spans="14:14">
      <c r="N935" s="1"/>
    </row>
    <row r="936" spans="14:14">
      <c r="N936" s="1"/>
    </row>
    <row r="937" spans="14:14">
      <c r="N937" s="1"/>
    </row>
    <row r="938" spans="14:14">
      <c r="N938" s="1"/>
    </row>
    <row r="939" spans="14:14">
      <c r="N939" s="1"/>
    </row>
    <row r="940" spans="14:14">
      <c r="N940" s="1"/>
    </row>
    <row r="941" spans="14:14">
      <c r="N941" s="1"/>
    </row>
    <row r="942" spans="14:14">
      <c r="N942" s="1"/>
    </row>
    <row r="943" spans="14:14">
      <c r="N943" s="1"/>
    </row>
    <row r="944" spans="14:14">
      <c r="N944" s="1"/>
    </row>
    <row r="945" spans="14:14">
      <c r="N945" s="1"/>
    </row>
    <row r="946" spans="14:14">
      <c r="N946" s="1"/>
    </row>
    <row r="947" spans="14:14">
      <c r="N947" s="1"/>
    </row>
    <row r="948" spans="14:14">
      <c r="N948" s="1"/>
    </row>
    <row r="949" spans="14:14">
      <c r="N949" s="1"/>
    </row>
    <row r="950" spans="14:14">
      <c r="N950" s="1"/>
    </row>
    <row r="951" spans="14:14">
      <c r="N951" s="1"/>
    </row>
    <row r="952" spans="14:14">
      <c r="N952" s="1"/>
    </row>
    <row r="953" spans="14:14">
      <c r="N953" s="1"/>
    </row>
    <row r="954" spans="14:14">
      <c r="N954" s="1"/>
    </row>
    <row r="955" spans="14:14">
      <c r="N955" s="1"/>
    </row>
    <row r="956" spans="14:14">
      <c r="N956" s="1"/>
    </row>
    <row r="957" spans="14:14">
      <c r="N957" s="1"/>
    </row>
    <row r="958" spans="14:14">
      <c r="N958" s="1"/>
    </row>
    <row r="959" spans="14:14">
      <c r="N959" s="1"/>
    </row>
    <row r="960" spans="14:14">
      <c r="N960" s="1"/>
    </row>
    <row r="961" spans="14:14">
      <c r="N961" s="1"/>
    </row>
    <row r="962" spans="14:14">
      <c r="N962" s="1"/>
    </row>
    <row r="963" spans="14:14">
      <c r="N963" s="1"/>
    </row>
    <row r="964" spans="14:14">
      <c r="N964" s="1"/>
    </row>
    <row r="965" spans="14:14">
      <c r="N965" s="1"/>
    </row>
    <row r="966" spans="14:14">
      <c r="N966" s="1"/>
    </row>
    <row r="967" spans="14:14">
      <c r="N967" s="1"/>
    </row>
    <row r="968" spans="14:14">
      <c r="N968" s="1"/>
    </row>
    <row r="969" spans="14:14">
      <c r="N969" s="1"/>
    </row>
    <row r="970" spans="14:14">
      <c r="N970" s="1"/>
    </row>
    <row r="971" spans="14:14">
      <c r="N971" s="1"/>
    </row>
    <row r="972" spans="14:14">
      <c r="N972" s="1"/>
    </row>
    <row r="973" spans="14:14">
      <c r="N973" s="1"/>
    </row>
    <row r="974" spans="14:14">
      <c r="N974" s="1"/>
    </row>
    <row r="975" spans="14:14">
      <c r="N975" s="1"/>
    </row>
    <row r="976" spans="14:14">
      <c r="N976" s="1"/>
    </row>
    <row r="977" spans="14:14">
      <c r="N977" s="1"/>
    </row>
    <row r="978" spans="14:14">
      <c r="N978" s="1"/>
    </row>
    <row r="979" spans="14:14">
      <c r="N979" s="1"/>
    </row>
    <row r="980" spans="14:14">
      <c r="N980" s="1"/>
    </row>
    <row r="981" spans="14:14">
      <c r="N981" s="1"/>
    </row>
    <row r="982" spans="14:14">
      <c r="N982" s="1"/>
    </row>
    <row r="983" spans="14:14">
      <c r="N983" s="1"/>
    </row>
    <row r="984" spans="14:14">
      <c r="N984" s="1"/>
    </row>
    <row r="985" spans="14:14">
      <c r="N985" s="1"/>
    </row>
    <row r="986" spans="14:14">
      <c r="N986" s="1"/>
    </row>
    <row r="987" spans="14:14">
      <c r="N987" s="1"/>
    </row>
    <row r="988" spans="14:14">
      <c r="N988" s="1"/>
    </row>
    <row r="989" spans="14:14">
      <c r="N989" s="1"/>
    </row>
    <row r="990" spans="14:14">
      <c r="N990" s="1"/>
    </row>
    <row r="991" spans="14:14">
      <c r="N991" s="1"/>
    </row>
    <row r="992" spans="14:14">
      <c r="N992" s="1"/>
    </row>
    <row r="993" spans="14:14">
      <c r="N993" s="1"/>
    </row>
    <row r="994" spans="14:14">
      <c r="N994" s="1"/>
    </row>
    <row r="995" spans="14:14">
      <c r="N995" s="1"/>
    </row>
    <row r="996" spans="14:14">
      <c r="N996" s="1"/>
    </row>
    <row r="997" spans="14:14">
      <c r="N997" s="1"/>
    </row>
    <row r="998" spans="14:14">
      <c r="N998" s="1"/>
    </row>
    <row r="999" spans="14:14">
      <c r="N999" s="1"/>
    </row>
    <row r="1000" spans="14:14">
      <c r="N1000" s="1"/>
    </row>
    <row r="1001" spans="14:14">
      <c r="N1001" s="1"/>
    </row>
    <row r="1002" spans="14:14">
      <c r="N1002" s="1"/>
    </row>
    <row r="1003" spans="14:14">
      <c r="N1003" s="1"/>
    </row>
    <row r="1004" spans="14:14">
      <c r="N1004" s="1"/>
    </row>
    <row r="1005" spans="14:14">
      <c r="N1005" s="1"/>
    </row>
    <row r="1006" spans="14:14">
      <c r="N1006" s="1"/>
    </row>
    <row r="1007" spans="14:14">
      <c r="N1007" s="1"/>
    </row>
    <row r="1008" spans="14:14">
      <c r="N1008" s="1"/>
    </row>
    <row r="1009" spans="14:14">
      <c r="N1009" s="1"/>
    </row>
    <row r="1010" spans="14:14">
      <c r="N1010" s="1"/>
    </row>
    <row r="1011" spans="14:14">
      <c r="N1011" s="1"/>
    </row>
    <row r="1012" spans="14:14">
      <c r="N1012" s="1"/>
    </row>
    <row r="1013" spans="14:14">
      <c r="N1013" s="1"/>
    </row>
    <row r="1014" spans="14:14">
      <c r="N1014" s="1"/>
    </row>
    <row r="1015" spans="14:14">
      <c r="N1015" s="1"/>
    </row>
    <row r="1016" spans="14:14">
      <c r="N1016" s="1"/>
    </row>
    <row r="1017" spans="14:14">
      <c r="N1017" s="1"/>
    </row>
    <row r="1018" spans="14:14">
      <c r="N1018" s="1"/>
    </row>
    <row r="1019" spans="14:14">
      <c r="N1019" s="1"/>
    </row>
    <row r="1020" spans="14:14">
      <c r="N1020" s="1"/>
    </row>
    <row r="1021" spans="14:14">
      <c r="N1021" s="1"/>
    </row>
    <row r="1022" spans="14:14">
      <c r="N1022" s="1"/>
    </row>
    <row r="1023" spans="14:14">
      <c r="N1023" s="1"/>
    </row>
    <row r="1024" spans="14:14">
      <c r="N1024" s="1"/>
    </row>
    <row r="1025" spans="14:14">
      <c r="N1025" s="1"/>
    </row>
    <row r="1026" spans="14:14">
      <c r="N1026" s="1"/>
    </row>
    <row r="1027" spans="14:14">
      <c r="N1027" s="1"/>
    </row>
    <row r="1028" spans="14:14">
      <c r="N1028" s="1"/>
    </row>
    <row r="1029" spans="14:14">
      <c r="N1029" s="1"/>
    </row>
    <row r="1030" spans="14:14">
      <c r="N1030" s="1"/>
    </row>
    <row r="1031" spans="14:14">
      <c r="N1031" s="1"/>
    </row>
    <row r="1032" spans="14:14">
      <c r="N1032" s="1"/>
    </row>
    <row r="1033" spans="14:14">
      <c r="N1033" s="1"/>
    </row>
    <row r="1034" spans="14:14">
      <c r="N1034" s="1"/>
    </row>
    <row r="1035" spans="14:14">
      <c r="N1035" s="1"/>
    </row>
    <row r="1036" spans="14:14">
      <c r="N1036" s="1"/>
    </row>
    <row r="1037" spans="14:14">
      <c r="N1037" s="1"/>
    </row>
    <row r="1038" spans="14:14">
      <c r="N1038" s="1"/>
    </row>
    <row r="1039" spans="14:14">
      <c r="N1039" s="1"/>
    </row>
    <row r="1040" spans="14:14">
      <c r="N1040" s="1"/>
    </row>
    <row r="1041" spans="14:14">
      <c r="N1041" s="1"/>
    </row>
    <row r="1042" spans="14:14">
      <c r="N1042" s="1"/>
    </row>
    <row r="1043" spans="14:14">
      <c r="N1043" s="1"/>
    </row>
    <row r="1044" spans="14:14">
      <c r="N1044" s="1"/>
    </row>
    <row r="1045" spans="14:14">
      <c r="N1045" s="1"/>
    </row>
    <row r="1046" spans="14:14">
      <c r="N1046" s="1"/>
    </row>
    <row r="1047" spans="14:14">
      <c r="N1047" s="1"/>
    </row>
    <row r="1048" spans="14:14">
      <c r="N1048" s="1"/>
    </row>
    <row r="1049" spans="14:14">
      <c r="N1049" s="1"/>
    </row>
    <row r="1050" spans="14:14">
      <c r="N1050" s="1"/>
    </row>
    <row r="1051" spans="14:14">
      <c r="N1051" s="1"/>
    </row>
    <row r="1052" spans="14:14">
      <c r="N1052" s="1"/>
    </row>
    <row r="1053" spans="14:14">
      <c r="N1053" s="1"/>
    </row>
    <row r="1054" spans="14:14">
      <c r="N1054" s="1"/>
    </row>
    <row r="1055" spans="14:14">
      <c r="N1055" s="1"/>
    </row>
    <row r="1056" spans="14:14">
      <c r="N1056" s="1"/>
    </row>
    <row r="1057" spans="14:14">
      <c r="N1057" s="1"/>
    </row>
    <row r="1058" spans="14:14">
      <c r="N1058" s="1"/>
    </row>
    <row r="1059" spans="14:14">
      <c r="N1059" s="1"/>
    </row>
    <row r="1060" spans="14:14">
      <c r="N1060" s="1"/>
    </row>
    <row r="1061" spans="14:14">
      <c r="N1061" s="1"/>
    </row>
    <row r="1062" spans="14:14">
      <c r="N1062" s="1"/>
    </row>
    <row r="1063" spans="14:14">
      <c r="N1063" s="1"/>
    </row>
    <row r="1064" spans="14:14">
      <c r="N1064" s="1"/>
    </row>
    <row r="1065" spans="14:14">
      <c r="N1065" s="1"/>
    </row>
    <row r="1066" spans="14:14">
      <c r="N1066" s="1"/>
    </row>
    <row r="1067" spans="14:14">
      <c r="N1067" s="1"/>
    </row>
    <row r="1068" spans="14:14">
      <c r="N1068" s="1"/>
    </row>
    <row r="1069" spans="14:14">
      <c r="N1069" s="1"/>
    </row>
    <row r="1070" spans="14:14">
      <c r="N1070" s="1"/>
    </row>
    <row r="1071" spans="14:14">
      <c r="N1071" s="1"/>
    </row>
    <row r="1072" spans="14:14">
      <c r="N1072" s="1"/>
    </row>
    <row r="1073" spans="14:14">
      <c r="N1073" s="1"/>
    </row>
    <row r="1074" spans="14:14">
      <c r="N1074" s="1"/>
    </row>
    <row r="1075" spans="14:14">
      <c r="N1075" s="1"/>
    </row>
    <row r="1076" spans="14:14">
      <c r="N1076" s="1"/>
    </row>
    <row r="1077" spans="14:14">
      <c r="N1077" s="1"/>
    </row>
    <row r="1078" spans="14:14">
      <c r="N1078" s="1"/>
    </row>
    <row r="1079" spans="14:14">
      <c r="N1079" s="1"/>
    </row>
    <row r="1080" spans="14:14">
      <c r="N1080" s="1"/>
    </row>
    <row r="1081" spans="14:14">
      <c r="N1081" s="1"/>
    </row>
    <row r="1082" spans="14:14">
      <c r="N1082" s="1"/>
    </row>
    <row r="1083" spans="14:14">
      <c r="N1083" s="1"/>
    </row>
    <row r="1084" spans="14:14">
      <c r="N1084" s="1"/>
    </row>
    <row r="1085" spans="14:14">
      <c r="N1085" s="1"/>
    </row>
    <row r="1086" spans="14:14">
      <c r="N1086" s="1"/>
    </row>
    <row r="1087" spans="14:14">
      <c r="N1087" s="1"/>
    </row>
    <row r="1088" spans="14:14">
      <c r="N1088" s="1"/>
    </row>
    <row r="1089" spans="14:14">
      <c r="N1089" s="1"/>
    </row>
    <row r="1090" spans="14:14">
      <c r="N1090" s="1"/>
    </row>
    <row r="1091" spans="14:14">
      <c r="N1091" s="1"/>
    </row>
    <row r="1092" spans="14:14">
      <c r="N1092" s="1"/>
    </row>
    <row r="1093" spans="14:14">
      <c r="N1093" s="1"/>
    </row>
    <row r="1094" spans="14:14">
      <c r="N1094" s="1"/>
    </row>
    <row r="1095" spans="14:14">
      <c r="N1095" s="1"/>
    </row>
    <row r="1096" spans="14:14">
      <c r="N1096" s="1"/>
    </row>
    <row r="1097" spans="14:14">
      <c r="N1097" s="1"/>
    </row>
    <row r="1098" spans="14:14">
      <c r="N1098" s="1"/>
    </row>
    <row r="1099" spans="14:14">
      <c r="N1099" s="1"/>
    </row>
    <row r="1100" spans="14:14">
      <c r="N1100" s="1"/>
    </row>
    <row r="1101" spans="14:14">
      <c r="N1101" s="1"/>
    </row>
    <row r="1102" spans="14:14">
      <c r="N1102" s="1"/>
    </row>
    <row r="1103" spans="14:14">
      <c r="N1103" s="1"/>
    </row>
    <row r="1104" spans="14:14">
      <c r="N1104" s="1"/>
    </row>
    <row r="1105" spans="14:14">
      <c r="N1105" s="1"/>
    </row>
    <row r="1106" spans="14:14">
      <c r="N1106" s="1"/>
    </row>
    <row r="1107" spans="14:14">
      <c r="N1107" s="1"/>
    </row>
    <row r="1108" spans="14:14">
      <c r="N1108" s="1"/>
    </row>
    <row r="1109" spans="14:14">
      <c r="N1109" s="1"/>
    </row>
    <row r="1110" spans="14:14">
      <c r="N1110" s="1"/>
    </row>
    <row r="1111" spans="14:14">
      <c r="N1111" s="1"/>
    </row>
    <row r="1112" spans="14:14">
      <c r="N1112" s="1"/>
    </row>
    <row r="1113" spans="14:14">
      <c r="N1113" s="1"/>
    </row>
    <row r="1114" spans="14:14">
      <c r="N1114" s="1"/>
    </row>
    <row r="1115" spans="14:14">
      <c r="N1115" s="1"/>
    </row>
    <row r="1116" spans="14:14">
      <c r="N1116" s="1"/>
    </row>
    <row r="1117" spans="14:14">
      <c r="N1117" s="1"/>
    </row>
    <row r="1118" spans="14:14">
      <c r="N1118" s="1"/>
    </row>
    <row r="1119" spans="14:14">
      <c r="N1119" s="1"/>
    </row>
    <row r="1120" spans="14:14">
      <c r="N1120" s="1"/>
    </row>
    <row r="1121" spans="14:14">
      <c r="N1121" s="1"/>
    </row>
    <row r="1122" spans="14:14">
      <c r="N1122" s="1"/>
    </row>
    <row r="1123" spans="14:14">
      <c r="N1123" s="1"/>
    </row>
    <row r="1124" spans="14:14">
      <c r="N1124" s="1"/>
    </row>
    <row r="1125" spans="14:14">
      <c r="N1125" s="1"/>
    </row>
    <row r="1126" spans="14:14">
      <c r="N1126" s="1"/>
    </row>
    <row r="1127" spans="14:14">
      <c r="N1127" s="1"/>
    </row>
    <row r="1128" spans="14:14">
      <c r="N1128" s="1"/>
    </row>
    <row r="1129" spans="14:14">
      <c r="N1129" s="1"/>
    </row>
    <row r="1130" spans="14:14">
      <c r="N1130" s="1"/>
    </row>
    <row r="1131" spans="14:14">
      <c r="N1131" s="1"/>
    </row>
    <row r="1132" spans="14:14">
      <c r="N1132" s="1"/>
    </row>
    <row r="1133" spans="14:14">
      <c r="N1133" s="1"/>
    </row>
    <row r="1134" spans="14:14">
      <c r="N1134" s="1"/>
    </row>
    <row r="1135" spans="14:14">
      <c r="N1135" s="1"/>
    </row>
    <row r="1136" spans="14:14">
      <c r="N1136" s="1"/>
    </row>
    <row r="1137" spans="14:14">
      <c r="N1137" s="1"/>
    </row>
    <row r="1138" spans="14:14">
      <c r="N1138" s="1"/>
    </row>
    <row r="1139" spans="14:14">
      <c r="N1139" s="1"/>
    </row>
    <row r="1140" spans="14:14">
      <c r="N1140" s="1"/>
    </row>
    <row r="1141" spans="14:14">
      <c r="N1141" s="1"/>
    </row>
    <row r="1142" spans="14:14">
      <c r="N1142" s="1"/>
    </row>
    <row r="1143" spans="14:14">
      <c r="N1143" s="1"/>
    </row>
    <row r="1144" spans="14:14">
      <c r="N1144" s="1"/>
    </row>
    <row r="1145" spans="14:14">
      <c r="N1145" s="1"/>
    </row>
    <row r="1146" spans="14:14">
      <c r="N1146" s="1"/>
    </row>
    <row r="1147" spans="14:14">
      <c r="N1147" s="1"/>
    </row>
    <row r="1148" spans="14:14">
      <c r="N1148" s="1"/>
    </row>
    <row r="1149" spans="14:14">
      <c r="N1149" s="1"/>
    </row>
    <row r="1150" spans="14:14">
      <c r="N1150" s="1"/>
    </row>
    <row r="1151" spans="14:14">
      <c r="N1151" s="1"/>
    </row>
    <row r="1152" spans="14:14">
      <c r="N1152" s="1"/>
    </row>
    <row r="1153" spans="14:14">
      <c r="N1153" s="1"/>
    </row>
    <row r="1154" spans="14:14">
      <c r="N1154" s="1"/>
    </row>
    <row r="1155" spans="14:14">
      <c r="N1155" s="1"/>
    </row>
    <row r="1156" spans="14:14">
      <c r="N1156" s="1"/>
    </row>
    <row r="1157" spans="14:14">
      <c r="N1157" s="1"/>
    </row>
    <row r="1158" spans="14:14">
      <c r="N1158" s="1"/>
    </row>
    <row r="1159" spans="14:14">
      <c r="N1159" s="1"/>
    </row>
    <row r="1160" spans="14:14">
      <c r="N1160" s="1"/>
    </row>
    <row r="1161" spans="14:14">
      <c r="N1161" s="1"/>
    </row>
    <row r="1162" spans="14:14">
      <c r="N1162" s="1"/>
    </row>
    <row r="1163" spans="14:14">
      <c r="N1163" s="1"/>
    </row>
    <row r="1164" spans="14:14">
      <c r="N1164" s="1"/>
    </row>
    <row r="1165" spans="14:14">
      <c r="N1165" s="1"/>
    </row>
    <row r="1166" spans="14:14">
      <c r="N1166" s="1"/>
    </row>
    <row r="1167" spans="14:14">
      <c r="N1167" s="1"/>
    </row>
    <row r="1168" spans="14:14">
      <c r="N1168" s="1"/>
    </row>
    <row r="1169" spans="14:14">
      <c r="N1169" s="1"/>
    </row>
    <row r="1170" spans="14:14">
      <c r="N1170" s="1"/>
    </row>
    <row r="1171" spans="14:14">
      <c r="N1171" s="1"/>
    </row>
    <row r="1172" spans="14:14">
      <c r="N1172" s="1"/>
    </row>
    <row r="1173" spans="14:14">
      <c r="N1173" s="1"/>
    </row>
    <row r="1174" spans="14:14">
      <c r="N1174" s="1"/>
    </row>
    <row r="1175" spans="14:14">
      <c r="N1175" s="1"/>
    </row>
    <row r="1176" spans="14:14">
      <c r="N1176" s="1"/>
    </row>
    <row r="1177" spans="14:14">
      <c r="N1177" s="1"/>
    </row>
    <row r="1178" spans="14:14">
      <c r="N1178" s="1"/>
    </row>
    <row r="1179" spans="14:14">
      <c r="N1179" s="1"/>
    </row>
    <row r="1180" spans="14:14">
      <c r="N1180" s="1"/>
    </row>
    <row r="1181" spans="14:14">
      <c r="N1181" s="1"/>
    </row>
    <row r="1182" spans="14:14">
      <c r="N1182" s="1"/>
    </row>
    <row r="1183" spans="14:14">
      <c r="N1183" s="1"/>
    </row>
    <row r="1184" spans="14:14">
      <c r="N1184" s="1"/>
    </row>
    <row r="1185" spans="14:14">
      <c r="N1185" s="1"/>
    </row>
    <row r="1186" spans="14:14">
      <c r="N1186" s="1"/>
    </row>
    <row r="1187" spans="14:14">
      <c r="N1187" s="1"/>
    </row>
    <row r="1188" spans="14:14">
      <c r="N1188" s="1"/>
    </row>
    <row r="1189" spans="14:14">
      <c r="N1189" s="1"/>
    </row>
    <row r="1190" spans="14:14">
      <c r="N1190" s="1"/>
    </row>
    <row r="1191" spans="14:14">
      <c r="N1191" s="1"/>
    </row>
    <row r="1192" spans="14:14">
      <c r="N1192" s="1"/>
    </row>
    <row r="1193" spans="14:14">
      <c r="N1193" s="1"/>
    </row>
    <row r="1194" spans="14:14">
      <c r="N1194" s="1"/>
    </row>
    <row r="1195" spans="14:14">
      <c r="N1195" s="1"/>
    </row>
    <row r="1196" spans="14:14">
      <c r="N1196" s="1"/>
    </row>
    <row r="1197" spans="14:14">
      <c r="N1197" s="1"/>
    </row>
    <row r="1198" spans="14:14">
      <c r="N1198" s="1"/>
    </row>
    <row r="1199" spans="14:14">
      <c r="N1199" s="1"/>
    </row>
    <row r="1200" spans="14:14">
      <c r="N1200" s="1"/>
    </row>
    <row r="1201" spans="14:14">
      <c r="N1201" s="1"/>
    </row>
    <row r="1202" spans="14:14">
      <c r="N1202" s="1"/>
    </row>
    <row r="1203" spans="14:14">
      <c r="N1203" s="1"/>
    </row>
    <row r="1204" spans="14:14">
      <c r="N1204" s="1"/>
    </row>
    <row r="1205" spans="14:14">
      <c r="N1205" s="1"/>
    </row>
    <row r="1206" spans="14:14">
      <c r="N1206" s="1"/>
    </row>
    <row r="1207" spans="14:14">
      <c r="N1207" s="1"/>
    </row>
    <row r="1208" spans="14:14">
      <c r="N1208" s="1"/>
    </row>
    <row r="1209" spans="14:14">
      <c r="N1209" s="1"/>
    </row>
    <row r="1210" spans="14:14">
      <c r="N1210" s="1"/>
    </row>
    <row r="1211" spans="14:14">
      <c r="N1211" s="1"/>
    </row>
    <row r="1212" spans="14:14">
      <c r="N1212" s="1"/>
    </row>
    <row r="1213" spans="14:14">
      <c r="N1213" s="1"/>
    </row>
    <row r="1214" spans="14:14">
      <c r="N1214" s="1"/>
    </row>
    <row r="1215" spans="14:14">
      <c r="N1215" s="1"/>
    </row>
    <row r="1216" spans="14:14">
      <c r="N1216" s="1"/>
    </row>
    <row r="1217" spans="14:14">
      <c r="N1217" s="1"/>
    </row>
    <row r="1218" spans="14:14">
      <c r="N1218" s="1"/>
    </row>
    <row r="1219" spans="14:14">
      <c r="N1219" s="1"/>
    </row>
    <row r="1220" spans="14:14">
      <c r="N1220" s="1"/>
    </row>
    <row r="1221" spans="14:14">
      <c r="N1221" s="1"/>
    </row>
    <row r="1222" spans="14:14">
      <c r="N1222" s="1"/>
    </row>
    <row r="1223" spans="14:14">
      <c r="N1223" s="1"/>
    </row>
    <row r="1224" spans="14:14">
      <c r="N1224" s="1"/>
    </row>
    <row r="1225" spans="14:14">
      <c r="N1225" s="1"/>
    </row>
    <row r="1226" spans="14:14">
      <c r="N1226" s="1"/>
    </row>
    <row r="1227" spans="14:14">
      <c r="N1227" s="1"/>
    </row>
    <row r="1228" spans="14:14">
      <c r="N1228" s="1"/>
    </row>
    <row r="1229" spans="14:14">
      <c r="N1229" s="1"/>
    </row>
    <row r="1230" spans="14:14">
      <c r="N1230" s="1"/>
    </row>
    <row r="1231" spans="14:14">
      <c r="N1231" s="1"/>
    </row>
    <row r="1232" spans="14:14">
      <c r="N1232" s="1"/>
    </row>
    <row r="1233" spans="14:14">
      <c r="N1233" s="1"/>
    </row>
    <row r="1234" spans="14:14">
      <c r="N1234" s="1"/>
    </row>
    <row r="1235" spans="14:14">
      <c r="N1235" s="1"/>
    </row>
    <row r="1236" spans="14:14">
      <c r="N1236" s="1"/>
    </row>
    <row r="1237" spans="14:14">
      <c r="N1237" s="1"/>
    </row>
    <row r="1238" spans="14:14">
      <c r="N1238" s="1"/>
    </row>
    <row r="1239" spans="14:14">
      <c r="N1239" s="1"/>
    </row>
    <row r="1240" spans="14:14">
      <c r="N1240" s="1"/>
    </row>
    <row r="1241" spans="14:14">
      <c r="N1241" s="1"/>
    </row>
    <row r="1242" spans="14:14">
      <c r="N1242" s="1"/>
    </row>
    <row r="1243" spans="14:14">
      <c r="N1243" s="1"/>
    </row>
    <row r="1244" spans="14:14">
      <c r="N1244" s="1"/>
    </row>
    <row r="1245" spans="14:14">
      <c r="N1245" s="1"/>
    </row>
    <row r="1246" spans="14:14">
      <c r="N1246" s="1"/>
    </row>
    <row r="1247" spans="14:14">
      <c r="N1247" s="1"/>
    </row>
    <row r="1248" spans="14:14">
      <c r="N1248" s="1"/>
    </row>
    <row r="1249" spans="14:14">
      <c r="N1249" s="1"/>
    </row>
    <row r="1250" spans="14:14">
      <c r="N1250" s="1"/>
    </row>
    <row r="1251" spans="14:14">
      <c r="N1251" s="1"/>
    </row>
    <row r="1252" spans="14:14">
      <c r="N1252" s="1"/>
    </row>
    <row r="1253" spans="14:14">
      <c r="N1253" s="1"/>
    </row>
    <row r="1254" spans="14:14">
      <c r="N1254" s="1"/>
    </row>
    <row r="1255" spans="14:14">
      <c r="N1255" s="1"/>
    </row>
    <row r="1256" spans="14:14">
      <c r="N1256" s="1"/>
    </row>
    <row r="1257" spans="14:14">
      <c r="N1257" s="1"/>
    </row>
    <row r="1258" spans="14:14">
      <c r="N1258" s="1"/>
    </row>
    <row r="1259" spans="14:14">
      <c r="N1259" s="1"/>
    </row>
    <row r="1260" spans="14:14">
      <c r="N1260" s="1"/>
    </row>
    <row r="1261" spans="14:14">
      <c r="N1261" s="1"/>
    </row>
    <row r="1262" spans="14:14">
      <c r="N1262" s="1"/>
    </row>
    <row r="1263" spans="14:14">
      <c r="N1263" s="1"/>
    </row>
    <row r="1264" spans="14:14">
      <c r="N1264" s="1"/>
    </row>
    <row r="1265" spans="14:14">
      <c r="N1265" s="1"/>
    </row>
    <row r="1266" spans="14:14">
      <c r="N1266" s="1"/>
    </row>
    <row r="1267" spans="14:14">
      <c r="N1267" s="1"/>
    </row>
    <row r="1268" spans="14:14">
      <c r="N1268" s="1"/>
    </row>
    <row r="1269" spans="14:14">
      <c r="N1269" s="1"/>
    </row>
    <row r="1270" spans="14:14">
      <c r="N1270" s="1"/>
    </row>
    <row r="1271" spans="14:14">
      <c r="N1271" s="1"/>
    </row>
    <row r="1272" spans="14:14">
      <c r="N1272" s="1"/>
    </row>
    <row r="1273" spans="14:14">
      <c r="N1273" s="1"/>
    </row>
    <row r="1274" spans="14:14">
      <c r="N1274" s="1"/>
    </row>
    <row r="1275" spans="14:14">
      <c r="N1275" s="1"/>
    </row>
    <row r="1276" spans="14:14">
      <c r="N1276" s="1"/>
    </row>
    <row r="1277" spans="14:14">
      <c r="N1277" s="1"/>
    </row>
    <row r="1278" spans="14:14">
      <c r="N1278" s="1"/>
    </row>
    <row r="1279" spans="14:14">
      <c r="N1279" s="1"/>
    </row>
    <row r="1280" spans="14:14">
      <c r="N1280" s="1"/>
    </row>
    <row r="1281" spans="14:14">
      <c r="N1281" s="1"/>
    </row>
    <row r="1282" spans="14:14">
      <c r="N1282" s="1"/>
    </row>
    <row r="1283" spans="14:14">
      <c r="N1283" s="1"/>
    </row>
    <row r="1284" spans="14:14">
      <c r="N1284" s="1"/>
    </row>
    <row r="1285" spans="14:14">
      <c r="N1285" s="1"/>
    </row>
    <row r="1286" spans="14:14">
      <c r="N1286" s="1"/>
    </row>
    <row r="1287" spans="14:14">
      <c r="N1287" s="1"/>
    </row>
    <row r="1288" spans="14:14">
      <c r="N1288" s="1"/>
    </row>
    <row r="1289" spans="14:14">
      <c r="N1289" s="1"/>
    </row>
    <row r="1290" spans="14:14">
      <c r="N1290" s="1"/>
    </row>
    <row r="1291" spans="14:14">
      <c r="N1291" s="1"/>
    </row>
    <row r="1292" spans="14:14">
      <c r="N1292" s="1"/>
    </row>
    <row r="1293" spans="14:14">
      <c r="N1293" s="1"/>
    </row>
    <row r="1294" spans="14:14">
      <c r="N1294" s="1"/>
    </row>
    <row r="1295" spans="14:14">
      <c r="N1295" s="1"/>
    </row>
    <row r="1296" spans="14:14">
      <c r="N1296" s="1"/>
    </row>
    <row r="1297" spans="14:14">
      <c r="N1297" s="1"/>
    </row>
    <row r="1298" spans="14:14">
      <c r="N1298" s="1"/>
    </row>
    <row r="1299" spans="14:14">
      <c r="N1299" s="1"/>
    </row>
    <row r="1300" spans="14:14">
      <c r="N1300" s="1"/>
    </row>
    <row r="1301" spans="14:14">
      <c r="N1301" s="1"/>
    </row>
    <row r="1302" spans="14:14">
      <c r="N1302" s="1"/>
    </row>
    <row r="1303" spans="14:14">
      <c r="N1303" s="1"/>
    </row>
    <row r="1304" spans="14:14">
      <c r="N1304" s="1"/>
    </row>
    <row r="1305" spans="14:14">
      <c r="N1305" s="1"/>
    </row>
    <row r="1306" spans="14:14">
      <c r="N1306" s="1"/>
    </row>
    <row r="1307" spans="14:14">
      <c r="N1307" s="1"/>
    </row>
    <row r="1308" spans="14:14">
      <c r="N1308" s="1"/>
    </row>
    <row r="1309" spans="14:14">
      <c r="N1309" s="1"/>
    </row>
    <row r="1310" spans="14:14">
      <c r="N1310" s="1"/>
    </row>
    <row r="1311" spans="14:14">
      <c r="N1311" s="1"/>
    </row>
    <row r="1312" spans="14:14">
      <c r="N1312" s="1"/>
    </row>
    <row r="1313" spans="14:14">
      <c r="N1313" s="1"/>
    </row>
    <row r="1314" spans="14:14">
      <c r="N1314" s="1"/>
    </row>
    <row r="1315" spans="14:14">
      <c r="N1315" s="1"/>
    </row>
    <row r="1316" spans="14:14">
      <c r="N1316" s="1"/>
    </row>
    <row r="1317" spans="14:14">
      <c r="N1317" s="1"/>
    </row>
    <row r="1318" spans="14:14">
      <c r="N1318" s="1"/>
    </row>
    <row r="1319" spans="14:14">
      <c r="N1319" s="1"/>
    </row>
    <row r="1320" spans="14:14">
      <c r="N1320" s="1"/>
    </row>
    <row r="1321" spans="14:14">
      <c r="N1321" s="1"/>
    </row>
    <row r="1322" spans="14:14">
      <c r="N1322" s="1"/>
    </row>
    <row r="1323" spans="14:14">
      <c r="N1323" s="1"/>
    </row>
    <row r="1324" spans="14:14">
      <c r="N1324" s="1"/>
    </row>
    <row r="1325" spans="14:14">
      <c r="N1325" s="1"/>
    </row>
    <row r="1326" spans="14:14">
      <c r="N1326" s="1"/>
    </row>
    <row r="1327" spans="14:14">
      <c r="N1327" s="1"/>
    </row>
    <row r="1328" spans="14:14">
      <c r="N1328" s="1"/>
    </row>
    <row r="1329" spans="14:14">
      <c r="N1329" s="1"/>
    </row>
    <row r="1330" spans="14:14">
      <c r="N1330" s="1"/>
    </row>
    <row r="1331" spans="14:14">
      <c r="N1331" s="1"/>
    </row>
    <row r="1332" spans="14:14">
      <c r="N1332" s="1"/>
    </row>
    <row r="1333" spans="14:14">
      <c r="N1333" s="1"/>
    </row>
    <row r="1334" spans="14:14">
      <c r="N1334" s="1"/>
    </row>
    <row r="1335" spans="14:14">
      <c r="N1335" s="1"/>
    </row>
    <row r="1336" spans="14:14">
      <c r="N1336" s="1"/>
    </row>
    <row r="1337" spans="14:14">
      <c r="N1337" s="1"/>
    </row>
    <row r="1338" spans="14:14">
      <c r="N1338" s="1"/>
    </row>
    <row r="1339" spans="14:14">
      <c r="N1339" s="1"/>
    </row>
    <row r="1340" spans="14:14">
      <c r="N1340" s="1"/>
    </row>
    <row r="1341" spans="14:14">
      <c r="N1341" s="1"/>
    </row>
    <row r="1342" spans="14:14">
      <c r="N1342" s="1"/>
    </row>
    <row r="1343" spans="14:14">
      <c r="N1343" s="1"/>
    </row>
    <row r="1344" spans="14:14">
      <c r="N1344" s="1"/>
    </row>
    <row r="1345" spans="14:14">
      <c r="N1345" s="1"/>
    </row>
    <row r="1346" spans="14:14">
      <c r="N1346" s="1"/>
    </row>
    <row r="1347" spans="14:14">
      <c r="N1347" s="1"/>
    </row>
    <row r="1348" spans="14:14">
      <c r="N1348" s="1"/>
    </row>
    <row r="1349" spans="14:14">
      <c r="N1349" s="1"/>
    </row>
    <row r="1350" spans="14:14">
      <c r="N1350" s="1"/>
    </row>
    <row r="1351" spans="14:14">
      <c r="N1351" s="1"/>
    </row>
    <row r="1352" spans="14:14">
      <c r="N1352" s="1"/>
    </row>
    <row r="1353" spans="14:14">
      <c r="N1353" s="1"/>
    </row>
    <row r="1354" spans="14:14">
      <c r="N1354" s="1"/>
    </row>
    <row r="1355" spans="14:14">
      <c r="N1355" s="1"/>
    </row>
    <row r="1356" spans="14:14">
      <c r="N1356" s="1"/>
    </row>
    <row r="1357" spans="14:14">
      <c r="N1357" s="1"/>
    </row>
    <row r="1358" spans="14:14">
      <c r="N1358" s="1"/>
    </row>
    <row r="1359" spans="14:14">
      <c r="N1359" s="1"/>
    </row>
    <row r="1360" spans="14:14">
      <c r="N1360" s="1"/>
    </row>
    <row r="1361" spans="14:14">
      <c r="N1361" s="1"/>
    </row>
    <row r="1362" spans="14:14">
      <c r="N1362" s="1"/>
    </row>
    <row r="1363" spans="14:14">
      <c r="N1363" s="1"/>
    </row>
    <row r="1364" spans="14:14">
      <c r="N1364" s="1"/>
    </row>
    <row r="1365" spans="14:14">
      <c r="N1365" s="1"/>
    </row>
    <row r="1366" spans="14:14">
      <c r="N1366" s="1"/>
    </row>
    <row r="1367" spans="14:14">
      <c r="N1367" s="1"/>
    </row>
    <row r="1368" spans="14:14">
      <c r="N1368" s="1"/>
    </row>
    <row r="1369" spans="14:14">
      <c r="N1369" s="1"/>
    </row>
    <row r="1370" spans="14:14">
      <c r="N1370" s="1"/>
    </row>
    <row r="1371" spans="14:14">
      <c r="N1371" s="1"/>
    </row>
    <row r="1372" spans="14:14">
      <c r="N1372" s="1"/>
    </row>
    <row r="1373" spans="14:14">
      <c r="N1373" s="1"/>
    </row>
    <row r="1374" spans="14:14">
      <c r="N1374" s="1"/>
    </row>
    <row r="1375" spans="14:14">
      <c r="N1375" s="1"/>
    </row>
    <row r="1376" spans="14:14">
      <c r="N1376" s="1"/>
    </row>
    <row r="1377" spans="14:14">
      <c r="N1377" s="1"/>
    </row>
    <row r="1378" spans="14:14">
      <c r="N1378" s="1"/>
    </row>
    <row r="1379" spans="14:14">
      <c r="N1379" s="1"/>
    </row>
    <row r="1380" spans="14:14">
      <c r="N1380" s="1"/>
    </row>
    <row r="1381" spans="14:14">
      <c r="N1381" s="1"/>
    </row>
    <row r="1382" spans="14:14">
      <c r="N1382" s="1"/>
    </row>
    <row r="1383" spans="14:14">
      <c r="N1383" s="1"/>
    </row>
    <row r="1384" spans="14:14">
      <c r="N1384" s="1"/>
    </row>
    <row r="1385" spans="14:14">
      <c r="N1385" s="1"/>
    </row>
    <row r="1386" spans="14:14">
      <c r="N1386" s="1"/>
    </row>
    <row r="1387" spans="14:14">
      <c r="N1387" s="1"/>
    </row>
    <row r="1388" spans="14:14">
      <c r="N1388" s="1"/>
    </row>
    <row r="1389" spans="14:14">
      <c r="N1389" s="1"/>
    </row>
    <row r="1390" spans="14:14">
      <c r="N1390" s="1"/>
    </row>
    <row r="1391" spans="14:14">
      <c r="N1391" s="1"/>
    </row>
    <row r="1392" spans="14:14">
      <c r="N1392" s="1"/>
    </row>
    <row r="1393" spans="14:14">
      <c r="N1393" s="1"/>
    </row>
    <row r="1394" spans="14:14">
      <c r="N1394" s="1"/>
    </row>
    <row r="1395" spans="14:14">
      <c r="N1395" s="1"/>
    </row>
    <row r="1396" spans="14:14">
      <c r="N1396" s="1"/>
    </row>
    <row r="1397" spans="14:14">
      <c r="N1397" s="1"/>
    </row>
    <row r="1398" spans="14:14">
      <c r="N1398" s="1"/>
    </row>
    <row r="1399" spans="14:14">
      <c r="N1399" s="1"/>
    </row>
    <row r="1400" spans="14:14">
      <c r="N1400" s="1"/>
    </row>
    <row r="1401" spans="14:14">
      <c r="N1401" s="1"/>
    </row>
    <row r="1402" spans="14:14">
      <c r="N1402" s="1"/>
    </row>
    <row r="1403" spans="14:14">
      <c r="N1403" s="1"/>
    </row>
    <row r="1404" spans="14:14">
      <c r="N1404" s="1"/>
    </row>
    <row r="1405" spans="14:14">
      <c r="N1405" s="1"/>
    </row>
    <row r="1406" spans="14:14">
      <c r="N1406" s="1"/>
    </row>
    <row r="1407" spans="14:14">
      <c r="N1407" s="1"/>
    </row>
    <row r="1408" spans="14:14">
      <c r="N1408" s="1"/>
    </row>
    <row r="1409" spans="14:14">
      <c r="N1409" s="1"/>
    </row>
    <row r="1410" spans="14:14">
      <c r="N1410" s="1"/>
    </row>
    <row r="1411" spans="14:14">
      <c r="N1411" s="1"/>
    </row>
    <row r="1412" spans="14:14">
      <c r="N1412" s="1"/>
    </row>
    <row r="1413" spans="14:14">
      <c r="N1413" s="1"/>
    </row>
    <row r="1414" spans="14:14">
      <c r="N1414" s="1"/>
    </row>
    <row r="1415" spans="14:14">
      <c r="N1415" s="1"/>
    </row>
    <row r="1416" spans="14:14">
      <c r="N1416" s="1"/>
    </row>
    <row r="1417" spans="14:14">
      <c r="N1417" s="1"/>
    </row>
    <row r="1418" spans="14:14">
      <c r="N1418" s="1"/>
    </row>
    <row r="1419" spans="14:14">
      <c r="N1419" s="1"/>
    </row>
    <row r="1420" spans="14:14">
      <c r="N1420" s="1"/>
    </row>
    <row r="1421" spans="14:14">
      <c r="N1421" s="1"/>
    </row>
    <row r="1422" spans="14:14">
      <c r="N1422" s="1"/>
    </row>
    <row r="1423" spans="14:14">
      <c r="N1423" s="1"/>
    </row>
    <row r="1424" spans="14:14">
      <c r="N1424" s="1"/>
    </row>
    <row r="1425" spans="14:14">
      <c r="N1425" s="1"/>
    </row>
    <row r="1426" spans="14:14">
      <c r="N1426" s="1"/>
    </row>
    <row r="1427" spans="14:14">
      <c r="N1427" s="1"/>
    </row>
    <row r="1428" spans="14:14">
      <c r="N1428" s="1"/>
    </row>
    <row r="1429" spans="14:14">
      <c r="N1429" s="1"/>
    </row>
    <row r="1430" spans="14:14">
      <c r="N1430" s="1"/>
    </row>
    <row r="1431" spans="14:14">
      <c r="N1431" s="1"/>
    </row>
    <row r="1432" spans="14:14">
      <c r="N1432" s="1"/>
    </row>
    <row r="1433" spans="14:14">
      <c r="N1433" s="1"/>
    </row>
    <row r="1434" spans="14:14">
      <c r="N1434" s="1"/>
    </row>
    <row r="1435" spans="14:14">
      <c r="N1435" s="1"/>
    </row>
    <row r="1436" spans="14:14">
      <c r="N1436" s="1"/>
    </row>
    <row r="1437" spans="14:14">
      <c r="N1437" s="1"/>
    </row>
    <row r="1438" spans="14:14">
      <c r="N1438" s="1"/>
    </row>
    <row r="1439" spans="14:14">
      <c r="N1439" s="1"/>
    </row>
    <row r="1440" spans="14:14">
      <c r="N1440" s="1"/>
    </row>
    <row r="1441" spans="14:14">
      <c r="N1441" s="1"/>
    </row>
    <row r="1442" spans="14:14">
      <c r="N1442" s="1"/>
    </row>
    <row r="1443" spans="14:14">
      <c r="N1443" s="1"/>
    </row>
    <row r="1444" spans="14:14">
      <c r="N1444" s="1"/>
    </row>
    <row r="1445" spans="14:14">
      <c r="N1445" s="1"/>
    </row>
    <row r="1446" spans="14:14">
      <c r="N1446" s="1"/>
    </row>
    <row r="1447" spans="14:14">
      <c r="N1447" s="1"/>
    </row>
    <row r="1448" spans="14:14">
      <c r="N1448" s="1"/>
    </row>
    <row r="1449" spans="14:14">
      <c r="N1449" s="1"/>
    </row>
    <row r="1450" spans="14:14">
      <c r="N1450" s="1"/>
    </row>
    <row r="1451" spans="14:14">
      <c r="N1451" s="1"/>
    </row>
    <row r="1452" spans="14:14">
      <c r="N1452" s="1"/>
    </row>
    <row r="1453" spans="14:14">
      <c r="N1453" s="1"/>
    </row>
    <row r="1454" spans="14:14">
      <c r="N1454" s="1"/>
    </row>
    <row r="1455" spans="14:14">
      <c r="N1455" s="1"/>
    </row>
    <row r="1456" spans="14:14">
      <c r="N1456" s="1"/>
    </row>
    <row r="1457" spans="14:14">
      <c r="N1457" s="1"/>
    </row>
    <row r="1458" spans="14:14">
      <c r="N1458" s="1"/>
    </row>
    <row r="1459" spans="14:14">
      <c r="N1459" s="1"/>
    </row>
    <row r="1460" spans="14:14">
      <c r="N1460" s="1"/>
    </row>
    <row r="1461" spans="14:14">
      <c r="N1461" s="1"/>
    </row>
    <row r="1462" spans="14:14">
      <c r="N1462" s="1"/>
    </row>
    <row r="1463" spans="14:14">
      <c r="N1463" s="1"/>
    </row>
    <row r="1464" spans="14:14">
      <c r="N1464" s="1"/>
    </row>
    <row r="1465" spans="14:14">
      <c r="N1465" s="1"/>
    </row>
    <row r="1466" spans="14:14">
      <c r="N1466" s="1"/>
    </row>
    <row r="1467" spans="14:14">
      <c r="N1467" s="1"/>
    </row>
    <row r="1468" spans="14:14">
      <c r="N1468" s="1"/>
    </row>
    <row r="1469" spans="14:14">
      <c r="N1469" s="1"/>
    </row>
    <row r="1470" spans="14:14">
      <c r="N1470" s="1"/>
    </row>
    <row r="1471" spans="14:14">
      <c r="N1471" s="1"/>
    </row>
    <row r="1472" spans="14:14">
      <c r="N1472" s="1"/>
    </row>
    <row r="1473" spans="14:14">
      <c r="N1473" s="1"/>
    </row>
    <row r="1474" spans="14:14">
      <c r="N1474" s="1"/>
    </row>
    <row r="1475" spans="14:14">
      <c r="N1475" s="1"/>
    </row>
    <row r="1476" spans="14:14">
      <c r="N1476" s="1"/>
    </row>
    <row r="1477" spans="14:14">
      <c r="N1477" s="1"/>
    </row>
    <row r="1478" spans="14:14">
      <c r="N1478" s="1"/>
    </row>
    <row r="1479" spans="14:14">
      <c r="N1479" s="1"/>
    </row>
    <row r="1480" spans="14:14">
      <c r="N1480" s="1"/>
    </row>
    <row r="1481" spans="14:14">
      <c r="N1481" s="1"/>
    </row>
    <row r="1482" spans="14:14">
      <c r="N1482" s="1"/>
    </row>
    <row r="1483" spans="14:14">
      <c r="N1483" s="1"/>
    </row>
    <row r="1484" spans="14:14">
      <c r="N1484" s="1"/>
    </row>
    <row r="1485" spans="14:14">
      <c r="N1485" s="1"/>
    </row>
    <row r="1486" spans="14:14">
      <c r="N1486" s="1"/>
    </row>
    <row r="1487" spans="14:14">
      <c r="N1487" s="1"/>
    </row>
    <row r="1488" spans="14:14">
      <c r="N1488" s="1"/>
    </row>
    <row r="1489" spans="14:14">
      <c r="N1489" s="1"/>
    </row>
    <row r="1490" spans="14:14">
      <c r="N1490" s="1"/>
    </row>
    <row r="1491" spans="14:14">
      <c r="N1491" s="1"/>
    </row>
    <row r="1492" spans="14:14">
      <c r="N1492" s="1"/>
    </row>
    <row r="1493" spans="14:14">
      <c r="N1493" s="1"/>
    </row>
    <row r="1494" spans="14:14">
      <c r="N1494" s="1"/>
    </row>
    <row r="1495" spans="14:14">
      <c r="N1495" s="1"/>
    </row>
    <row r="1496" spans="14:14">
      <c r="N1496" s="1"/>
    </row>
    <row r="1497" spans="14:14">
      <c r="N1497" s="1"/>
    </row>
    <row r="1498" spans="14:14">
      <c r="N1498" s="1"/>
    </row>
    <row r="1499" spans="14:14">
      <c r="N1499" s="1"/>
    </row>
    <row r="1500" spans="14:14">
      <c r="N1500" s="1"/>
    </row>
    <row r="1501" spans="14:14">
      <c r="N1501" s="1"/>
    </row>
    <row r="1502" spans="14:14">
      <c r="N1502" s="1"/>
    </row>
    <row r="1503" spans="14:14">
      <c r="N1503" s="1"/>
    </row>
    <row r="1504" spans="14:14">
      <c r="N1504" s="1"/>
    </row>
    <row r="1505" spans="14:14">
      <c r="N1505" s="1"/>
    </row>
    <row r="1506" spans="14:14">
      <c r="N1506" s="1"/>
    </row>
    <row r="1507" spans="14:14">
      <c r="N1507" s="1"/>
    </row>
    <row r="1508" spans="14:14">
      <c r="N1508" s="1"/>
    </row>
    <row r="1509" spans="14:14">
      <c r="N1509" s="1"/>
    </row>
    <row r="1510" spans="14:14">
      <c r="N1510" s="1"/>
    </row>
    <row r="1511" spans="14:14">
      <c r="N1511" s="1"/>
    </row>
    <row r="1512" spans="14:14">
      <c r="N1512" s="1"/>
    </row>
    <row r="1513" spans="14:14">
      <c r="N1513" s="1"/>
    </row>
    <row r="1514" spans="14:14">
      <c r="N1514" s="1"/>
    </row>
    <row r="1515" spans="14:14">
      <c r="N1515" s="1"/>
    </row>
    <row r="1516" spans="14:14">
      <c r="N1516" s="1"/>
    </row>
    <row r="1517" spans="14:14">
      <c r="N1517" s="1"/>
    </row>
    <row r="1518" spans="14:14">
      <c r="N1518" s="1"/>
    </row>
    <row r="1519" spans="14:14">
      <c r="N1519" s="1"/>
    </row>
    <row r="1520" spans="14:14">
      <c r="N1520" s="1"/>
    </row>
    <row r="1521" spans="14:14">
      <c r="N1521" s="1"/>
    </row>
    <row r="1522" spans="14:14">
      <c r="N1522" s="1"/>
    </row>
    <row r="1523" spans="14:14">
      <c r="N1523" s="1"/>
    </row>
    <row r="1524" spans="14:14">
      <c r="N1524" s="1"/>
    </row>
    <row r="1525" spans="14:14">
      <c r="N1525" s="1"/>
    </row>
    <row r="1526" spans="14:14">
      <c r="N1526" s="1"/>
    </row>
    <row r="1527" spans="14:14">
      <c r="N1527" s="1"/>
    </row>
    <row r="1528" spans="14:14">
      <c r="N1528" s="1"/>
    </row>
    <row r="1529" spans="14:14">
      <c r="N1529" s="1"/>
    </row>
    <row r="1530" spans="14:14">
      <c r="N1530" s="1"/>
    </row>
    <row r="1531" spans="14:14">
      <c r="N1531" s="1"/>
    </row>
    <row r="1532" spans="14:14">
      <c r="N1532" s="1"/>
    </row>
    <row r="1533" spans="14:14">
      <c r="N1533" s="1"/>
    </row>
    <row r="1534" spans="14:14">
      <c r="N1534" s="1"/>
    </row>
    <row r="1535" spans="14:14">
      <c r="N1535" s="1"/>
    </row>
    <row r="1536" spans="14:14">
      <c r="N1536" s="1"/>
    </row>
    <row r="1537" spans="14:14">
      <c r="N1537" s="1"/>
    </row>
    <row r="1538" spans="14:14">
      <c r="N1538" s="1"/>
    </row>
    <row r="1539" spans="14:14">
      <c r="N1539" s="1"/>
    </row>
    <row r="1540" spans="14:14">
      <c r="N1540" s="1"/>
    </row>
    <row r="1541" spans="14:14">
      <c r="N1541" s="1"/>
    </row>
    <row r="1542" spans="14:14">
      <c r="N1542" s="1"/>
    </row>
    <row r="1543" spans="14:14">
      <c r="N1543" s="1"/>
    </row>
    <row r="1544" spans="14:14">
      <c r="N1544" s="1"/>
    </row>
    <row r="1545" spans="14:14">
      <c r="N1545" s="1"/>
    </row>
    <row r="1546" spans="14:14">
      <c r="N1546" s="1"/>
    </row>
    <row r="1547" spans="14:14">
      <c r="N1547" s="1"/>
    </row>
    <row r="1548" spans="14:14">
      <c r="N1548" s="1"/>
    </row>
    <row r="1549" spans="14:14">
      <c r="N1549" s="1"/>
    </row>
    <row r="1550" spans="14:14">
      <c r="N1550" s="1"/>
    </row>
    <row r="1551" spans="14:14">
      <c r="N1551" s="1"/>
    </row>
    <row r="1552" spans="14:14">
      <c r="N1552" s="1"/>
    </row>
    <row r="1553" spans="14:14">
      <c r="N1553" s="1"/>
    </row>
    <row r="1554" spans="14:14">
      <c r="N1554" s="1"/>
    </row>
    <row r="1555" spans="14:14">
      <c r="N1555" s="1"/>
    </row>
    <row r="1556" spans="14:14">
      <c r="N1556" s="1"/>
    </row>
    <row r="1557" spans="14:14">
      <c r="N1557" s="1"/>
    </row>
    <row r="1558" spans="14:14">
      <c r="N1558" s="1"/>
    </row>
    <row r="1559" spans="14:14">
      <c r="N1559" s="1"/>
    </row>
    <row r="1560" spans="14:14">
      <c r="N1560" s="1"/>
    </row>
    <row r="1561" spans="14:14">
      <c r="N1561" s="1"/>
    </row>
    <row r="1562" spans="14:14">
      <c r="N1562" s="1"/>
    </row>
    <row r="1563" spans="14:14">
      <c r="N1563" s="1"/>
    </row>
    <row r="1564" spans="14:14">
      <c r="N1564" s="1"/>
    </row>
    <row r="1565" spans="14:14">
      <c r="N1565" s="1"/>
    </row>
    <row r="1566" spans="14:14">
      <c r="N1566" s="1"/>
    </row>
    <row r="1567" spans="14:14">
      <c r="N1567" s="1"/>
    </row>
    <row r="1568" spans="14:14">
      <c r="N1568" s="1"/>
    </row>
    <row r="1569" spans="14:14">
      <c r="N1569" s="1"/>
    </row>
    <row r="1570" spans="14:14">
      <c r="N1570" s="1"/>
    </row>
    <row r="1571" spans="14:14">
      <c r="N1571" s="1"/>
    </row>
    <row r="1572" spans="14:14">
      <c r="N1572" s="1"/>
    </row>
    <row r="1573" spans="14:14">
      <c r="N1573" s="1"/>
    </row>
    <row r="1574" spans="14:14">
      <c r="N1574" s="1"/>
    </row>
    <row r="1575" spans="14:14">
      <c r="N1575" s="1"/>
    </row>
    <row r="1576" spans="14:14">
      <c r="N1576" s="1"/>
    </row>
    <row r="1577" spans="14:14">
      <c r="N1577" s="1"/>
    </row>
    <row r="1578" spans="14:14">
      <c r="N1578" s="1"/>
    </row>
    <row r="1579" spans="14:14">
      <c r="N1579" s="1"/>
    </row>
    <row r="1580" spans="14:14">
      <c r="N1580" s="1"/>
    </row>
    <row r="1581" spans="14:14">
      <c r="N1581" s="1"/>
    </row>
    <row r="1582" spans="14:14">
      <c r="N1582" s="1"/>
    </row>
    <row r="1583" spans="14:14">
      <c r="N1583" s="1"/>
    </row>
    <row r="1584" spans="14:14">
      <c r="N1584" s="1"/>
    </row>
    <row r="1585" spans="14:14">
      <c r="N1585" s="1"/>
    </row>
    <row r="1586" spans="14:14">
      <c r="N1586" s="1"/>
    </row>
    <row r="1587" spans="14:14">
      <c r="N1587" s="1"/>
    </row>
    <row r="1588" spans="14:14">
      <c r="N1588" s="1"/>
    </row>
    <row r="1589" spans="14:14">
      <c r="N1589" s="1"/>
    </row>
    <row r="1590" spans="14:14">
      <c r="N1590" s="1"/>
    </row>
    <row r="1591" spans="14:14">
      <c r="N1591" s="1"/>
    </row>
    <row r="1592" spans="14:14">
      <c r="N1592" s="1"/>
    </row>
    <row r="1593" spans="14:14">
      <c r="N1593" s="1"/>
    </row>
    <row r="1594" spans="14:14">
      <c r="N1594" s="1"/>
    </row>
    <row r="1595" spans="14:14">
      <c r="N1595" s="1"/>
    </row>
    <row r="1596" spans="14:14">
      <c r="N1596" s="1"/>
    </row>
    <row r="1597" spans="14:14">
      <c r="N1597" s="1"/>
    </row>
    <row r="1598" spans="14:14">
      <c r="N1598" s="1"/>
    </row>
    <row r="1599" spans="14:14">
      <c r="N1599" s="1"/>
    </row>
    <row r="1600" spans="14:14">
      <c r="N1600" s="1"/>
    </row>
    <row r="1601" spans="14:14">
      <c r="N1601" s="1"/>
    </row>
    <row r="1602" spans="14:14">
      <c r="N1602" s="1"/>
    </row>
    <row r="1603" spans="14:14">
      <c r="N1603" s="1"/>
    </row>
    <row r="1604" spans="14:14">
      <c r="N1604" s="1"/>
    </row>
    <row r="1605" spans="14:14">
      <c r="N1605" s="1"/>
    </row>
    <row r="1606" spans="14:14">
      <c r="N1606" s="1"/>
    </row>
    <row r="1607" spans="14:14">
      <c r="N1607" s="1"/>
    </row>
    <row r="1608" spans="14:14">
      <c r="N1608" s="1"/>
    </row>
    <row r="1609" spans="14:14">
      <c r="N1609" s="1"/>
    </row>
    <row r="1610" spans="14:14">
      <c r="N1610" s="1"/>
    </row>
    <row r="1611" spans="14:14">
      <c r="N1611" s="1"/>
    </row>
    <row r="1612" spans="14:14">
      <c r="N1612" s="1"/>
    </row>
    <row r="1613" spans="14:14">
      <c r="N1613" s="1"/>
    </row>
    <row r="1614" spans="14:14">
      <c r="N1614" s="1"/>
    </row>
    <row r="1615" spans="14:14">
      <c r="N1615" s="1"/>
    </row>
    <row r="1616" spans="14:14">
      <c r="N1616" s="1"/>
    </row>
    <row r="1617" spans="14:14">
      <c r="N1617" s="1"/>
    </row>
    <row r="1618" spans="14:14">
      <c r="N1618" s="1"/>
    </row>
    <row r="1619" spans="14:14">
      <c r="N1619" s="1"/>
    </row>
    <row r="1620" spans="14:14">
      <c r="N1620" s="1"/>
    </row>
    <row r="1621" spans="14:14">
      <c r="N1621" s="1"/>
    </row>
    <row r="1622" spans="14:14">
      <c r="N1622" s="1"/>
    </row>
    <row r="1623" spans="14:14">
      <c r="N1623" s="1"/>
    </row>
    <row r="1624" spans="14:14">
      <c r="N1624" s="1"/>
    </row>
    <row r="1625" spans="14:14">
      <c r="N1625" s="1"/>
    </row>
    <row r="1626" spans="14:14">
      <c r="N1626" s="1"/>
    </row>
    <row r="1627" spans="14:14">
      <c r="N1627" s="1"/>
    </row>
    <row r="1628" spans="14:14">
      <c r="N1628" s="1"/>
    </row>
    <row r="1629" spans="14:14">
      <c r="N1629" s="1"/>
    </row>
    <row r="1630" spans="14:14">
      <c r="N1630" s="1"/>
    </row>
    <row r="1631" spans="14:14">
      <c r="N1631" s="1"/>
    </row>
    <row r="1632" spans="14:14">
      <c r="N1632" s="1"/>
    </row>
    <row r="1633" spans="14:14">
      <c r="N1633" s="1"/>
    </row>
    <row r="1634" spans="14:14">
      <c r="N1634" s="1"/>
    </row>
    <row r="1635" spans="14:14">
      <c r="N1635" s="1"/>
    </row>
    <row r="1636" spans="14:14">
      <c r="N1636" s="1"/>
    </row>
    <row r="1637" spans="14:14">
      <c r="N1637" s="1"/>
    </row>
    <row r="1638" spans="14:14">
      <c r="N1638" s="1"/>
    </row>
    <row r="1639" spans="14:14">
      <c r="N1639" s="1"/>
    </row>
    <row r="1640" spans="14:14">
      <c r="N1640" s="1"/>
    </row>
  </sheetData>
  <sheetProtection algorithmName="SHA-512" hashValue="CpD9aUFHgI9bJNB8NlCCuLgw3GNXRcao82P1ZlYqd0gcrg61OXpddbgIhYn4sDJx4+siVF1X78XZz8jzbA6h8w==" saltValue="dP13JYTk1j2dszjO/FQxjg==" spinCount="100000" sheet="1" formatCells="0" formatColumns="0" formatRows="0" insertColumns="0" insertRows="0" insertHyperlinks="0" deleteColumns="0" deleteRows="0" selectLockedCells="1" sort="0" autoFilter="0" pivotTables="0"/>
  <mergeCells count="65">
    <mergeCell ref="O35:S35"/>
    <mergeCell ref="O36:S36"/>
    <mergeCell ref="O37:S37"/>
    <mergeCell ref="L37:M37"/>
    <mergeCell ref="O8:S8"/>
    <mergeCell ref="O9:S13"/>
    <mergeCell ref="O30:S30"/>
    <mergeCell ref="O31:S31"/>
    <mergeCell ref="A16:M16"/>
    <mergeCell ref="B18:D18"/>
    <mergeCell ref="F18:G18"/>
    <mergeCell ref="H18:J18"/>
    <mergeCell ref="A11:A13"/>
    <mergeCell ref="C13:D13"/>
    <mergeCell ref="B14:D14"/>
    <mergeCell ref="J8:M8"/>
    <mergeCell ref="J9:M13"/>
    <mergeCell ref="B23:D23"/>
    <mergeCell ref="F23:G23"/>
    <mergeCell ref="H23:J23"/>
    <mergeCell ref="L35:M35"/>
    <mergeCell ref="B25:D25"/>
    <mergeCell ref="F25:G25"/>
    <mergeCell ref="H25:J25"/>
    <mergeCell ref="B26:D26"/>
    <mergeCell ref="F26:G26"/>
    <mergeCell ref="B30:F30"/>
    <mergeCell ref="A28:M28"/>
    <mergeCell ref="H26:J26"/>
    <mergeCell ref="G30:H30"/>
    <mergeCell ref="L30:M30"/>
    <mergeCell ref="C12:D12"/>
    <mergeCell ref="F19:G19"/>
    <mergeCell ref="H19:J19"/>
    <mergeCell ref="B20:D20"/>
    <mergeCell ref="F20:G20"/>
    <mergeCell ref="L36:M36"/>
    <mergeCell ref="L32:M32"/>
    <mergeCell ref="A33:M33"/>
    <mergeCell ref="B36:H36"/>
    <mergeCell ref="L31:M31"/>
    <mergeCell ref="G10:H10"/>
    <mergeCell ref="G11:H11"/>
    <mergeCell ref="G8:H8"/>
    <mergeCell ref="B9:D9"/>
    <mergeCell ref="G9:H9"/>
    <mergeCell ref="B8:D8"/>
    <mergeCell ref="B10:D10"/>
    <mergeCell ref="C11:D11"/>
    <mergeCell ref="G13:H13"/>
    <mergeCell ref="B37:H37"/>
    <mergeCell ref="G31:H31"/>
    <mergeCell ref="B21:D21"/>
    <mergeCell ref="F21:G21"/>
    <mergeCell ref="H21:J21"/>
    <mergeCell ref="B22:D22"/>
    <mergeCell ref="F22:G22"/>
    <mergeCell ref="H20:J20"/>
    <mergeCell ref="B35:H35"/>
    <mergeCell ref="B31:F31"/>
    <mergeCell ref="B24:D24"/>
    <mergeCell ref="F24:G24"/>
    <mergeCell ref="H24:J24"/>
    <mergeCell ref="H22:J22"/>
    <mergeCell ref="B19:D19"/>
  </mergeCells>
  <conditionalFormatting sqref="O31:S31">
    <cfRule type="cellIs" dxfId="5" priority="4" operator="equal">
      <formula>"En espera"</formula>
    </cfRule>
    <cfRule type="cellIs" dxfId="4" priority="5" operator="equal">
      <formula>"Completado"</formula>
    </cfRule>
    <cfRule type="cellIs" dxfId="3" priority="6" operator="equal">
      <formula>"Error"</formula>
    </cfRule>
  </conditionalFormatting>
  <conditionalFormatting sqref="O36:S37">
    <cfRule type="cellIs" dxfId="2" priority="1" operator="equal">
      <formula>"En espera"</formula>
    </cfRule>
    <cfRule type="cellIs" dxfId="1" priority="2" operator="equal">
      <formula>"Completado"</formula>
    </cfRule>
    <cfRule type="cellIs" dxfId="0" priority="3" operator="equal">
      <formula>"Error"</formula>
    </cfRule>
  </conditionalFormatting>
  <dataValidations count="5">
    <dataValidation type="list" allowBlank="1" showInputMessage="1" showErrorMessage="1" sqref="B14:D14" xr:uid="{9A1C48FC-D3AB-4525-9F64-3CB0EBA0D6CF}">
      <formula1>"Selecciona,PROD,QA1,QA2,QA3"</formula1>
    </dataValidation>
    <dataValidation type="list" allowBlank="1" showInputMessage="1" showErrorMessage="1" sqref="G8:I11" xr:uid="{4650E9FA-E91C-4E78-97EE-7CA20546C494}">
      <formula1>"Selecciona,Normal,Estandar,Emergente"</formula1>
    </dataValidation>
    <dataValidation type="list" allowBlank="1" showInputMessage="1" showErrorMessage="1" sqref="G12:I12" xr:uid="{B4AD8785-FCF9-401A-B1D2-70105CB04848}">
      <formula1>"Selecciona,Alto,Medio,Bajo"</formula1>
    </dataValidation>
    <dataValidation type="list" allowBlank="1" showInputMessage="1" showErrorMessage="1" sqref="G13:I14" xr:uid="{E27033D0-7157-46A3-92F0-EA22E8C7971F}">
      <formula1>"Selecciona,Si,No"</formula1>
    </dataValidation>
    <dataValidation type="list" allowBlank="1" showInputMessage="1" showErrorMessage="1" sqref="O31:S31 O36:S37" xr:uid="{5D90CFDE-9178-49BF-9374-1DDD77C0EE3E}">
      <formula1>"En espera, Completado, Error"</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206DBD8-5BD5-4DAF-A1A1-A4AF87E8A83D}">
          <x14:formula1>
            <xm:f>RFC!$F$19:$F$27</xm:f>
          </x14:formula1>
          <xm:sqref>J31 J36:J37</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4698EB078769649805EC3B6913873A7" ma:contentTypeVersion="11" ma:contentTypeDescription="Crear nuevo documento." ma:contentTypeScope="" ma:versionID="18d281bf07ab5fabb00d937901fa0d43">
  <xsd:schema xmlns:xsd="http://www.w3.org/2001/XMLSchema" xmlns:xs="http://www.w3.org/2001/XMLSchema" xmlns:p="http://schemas.microsoft.com/office/2006/metadata/properties" xmlns:ns2="00c35e53-beaa-4b63-903b-4b8c00e3d999" xmlns:ns3="6cbd280a-b484-4e7e-ad46-143c7b540316" targetNamespace="http://schemas.microsoft.com/office/2006/metadata/properties" ma:root="true" ma:fieldsID="250329bd0a22b576387403420be90733" ns2:_="" ns3:_="">
    <xsd:import namespace="00c35e53-beaa-4b63-903b-4b8c00e3d999"/>
    <xsd:import namespace="6cbd280a-b484-4e7e-ad46-143c7b5403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c35e53-beaa-4b63-903b-4b8c00e3d9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098c9583-0f15-466c-9d94-bbb87b488c1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bd280a-b484-4e7e-ad46-143c7b5403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6ed7556-a075-43ae-8e24-db220b54c595}" ma:internalName="TaxCatchAll" ma:showField="CatchAllData" ma:web="6cbd280a-b484-4e7e-ad46-143c7b5403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cbd280a-b484-4e7e-ad46-143c7b540316" xsi:nil="true"/>
    <lcf76f155ced4ddcb4097134ff3c332f xmlns="00c35e53-beaa-4b63-903b-4b8c00e3d99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4099066-5294-45EC-8BB0-B44CE4E50944}"/>
</file>

<file path=customXml/itemProps2.xml><?xml version="1.0" encoding="utf-8"?>
<ds:datastoreItem xmlns:ds="http://schemas.openxmlformats.org/officeDocument/2006/customXml" ds:itemID="{8F8856DC-DEA8-4AAF-946B-A65CF12CFD33}"/>
</file>

<file path=customXml/itemProps3.xml><?xml version="1.0" encoding="utf-8"?>
<ds:datastoreItem xmlns:ds="http://schemas.openxmlformats.org/officeDocument/2006/customXml" ds:itemID="{3965EBD2-5B34-4C28-8286-461A9C5F01D0}"/>
</file>

<file path=docMetadata/LabelInfo.xml><?xml version="1.0" encoding="utf-8"?>
<clbl:labelList xmlns:clbl="http://schemas.microsoft.com/office/2020/mipLabelMetadata">
  <clbl:label id="{9ea9728d-c9ba-4bb0-ae67-d52d0eac432d}" enabled="0" method="" siteId="{9ea9728d-c9ba-4bb0-ae67-d52d0eac432d}"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Erika Hernandez Castillo</dc:creator>
  <cp:keywords/>
  <dc:description/>
  <cp:lastModifiedBy>Higinio Pech Uicab</cp:lastModifiedBy>
  <cp:revision/>
  <dcterms:created xsi:type="dcterms:W3CDTF">2024-04-18T15:50:09Z</dcterms:created>
  <dcterms:modified xsi:type="dcterms:W3CDTF">2026-06-18T19:24:36Z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0x01010024698EB078769649805EC3B6913873A7</vt:lpwstr>
  </property>
  <property fmtid="{D5CDD505-2E9C-101B-9397-08002B2CF9AE}" pid="3" name="MediaServiceImageTags">
    <vt:lpwstr/>
  </property>
</Properties>
</file>