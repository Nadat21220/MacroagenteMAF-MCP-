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eduardoadrianmaganalanz/Downloads/"/>
    </mc:Choice>
  </mc:AlternateContent>
  <xr:revisionPtr revIDLastSave="0" documentId="13_ncr:1_{FAC91A2B-65BC-0541-915A-4B28822EF19B}" xr6:coauthVersionLast="47" xr6:coauthVersionMax="47" xr10:uidLastSave="{00000000-0000-0000-0000-000000000000}"/>
  <workbookProtection workbookAlgorithmName="SHA-512" workbookHashValue="r27oYkXqLDFPzokRxmhm4xIw/HYEPRgQlBanIFMgXfMHKZKiQt+Amt32rNxNuzbcUkRZyk4da0vqym1fxMzezg==" workbookSaltValue="x5XdV2+shVMcEe8v9x4C+A==" workbookSpinCount="100000" lockStructure="1"/>
  <bookViews>
    <workbookView xWindow="0" yWindow="660" windowWidth="30240" windowHeight="18980" firstSheet="1" activeTab="1" xr2:uid="{C0B3ABFD-81D6-42AC-8541-9C49D773573C}"/>
  </bookViews>
  <sheets>
    <sheet name="EV.RIESGO" sheetId="6" r:id="rId1"/>
    <sheet name="RFC" sheetId="1" r:id="rId2"/>
    <sheet name="HITOS" sheetId="2" r:id="rId3"/>
    <sheet name="INFRA Y DEVOPS" sheetId="4" r:id="rId4"/>
    <sheet name="VALIDACIÓN" sheetId="7" r:id="rId5"/>
    <sheet name="ROLLBACK" sheetId="3" r:id="rId6"/>
    <sheet name="Lista" sheetId="8" state="hidden"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4" i="1" l="1"/>
  <c r="F22" i="1" l="1"/>
  <c r="F21" i="3" s="1"/>
  <c r="H20" i="3"/>
  <c r="H22" i="3"/>
  <c r="G15" i="4"/>
  <c r="G15" i="1" s="1"/>
  <c r="F15" i="4"/>
  <c r="F15" i="1"/>
  <c r="H24" i="3"/>
  <c r="H23" i="3"/>
  <c r="F23" i="3"/>
  <c r="H21" i="3"/>
  <c r="C14" i="3"/>
  <c r="B14" i="3"/>
  <c r="C14" i="7"/>
  <c r="B14" i="7"/>
  <c r="C14" i="4"/>
  <c r="B14" i="4"/>
  <c r="C14" i="2"/>
  <c r="B14" i="2"/>
  <c r="C14" i="1"/>
  <c r="B14" i="1"/>
  <c r="F28" i="3"/>
  <c r="H28" i="3"/>
  <c r="F29" i="3"/>
  <c r="H29" i="3"/>
  <c r="F30" i="3"/>
  <c r="H30" i="3"/>
  <c r="G36" i="6"/>
  <c r="G31" i="6" s="1"/>
  <c r="G35" i="6"/>
  <c r="G30" i="6" s="1"/>
  <c r="G34" i="6"/>
  <c r="G29" i="6" s="1"/>
  <c r="G33" i="6"/>
  <c r="G28" i="6" s="1"/>
  <c r="B15" i="3"/>
  <c r="A15" i="3"/>
  <c r="C13" i="3"/>
  <c r="B13" i="3"/>
  <c r="C12" i="3"/>
  <c r="B12" i="3"/>
  <c r="G11" i="3"/>
  <c r="F11" i="3"/>
  <c r="C11" i="3"/>
  <c r="B11" i="3"/>
  <c r="A11" i="3"/>
  <c r="G10" i="3"/>
  <c r="F10" i="3"/>
  <c r="B10" i="3"/>
  <c r="A10" i="3"/>
  <c r="G9" i="3"/>
  <c r="F9" i="3"/>
  <c r="B9" i="3"/>
  <c r="A9" i="3"/>
  <c r="J8" i="3"/>
  <c r="G8" i="3"/>
  <c r="F8" i="3"/>
  <c r="B8" i="3"/>
  <c r="A8" i="3"/>
  <c r="B15" i="7"/>
  <c r="A15" i="7"/>
  <c r="C13" i="7"/>
  <c r="B13" i="7"/>
  <c r="C12" i="7"/>
  <c r="B12" i="7"/>
  <c r="G11" i="7"/>
  <c r="F11" i="7"/>
  <c r="C11" i="7"/>
  <c r="B11" i="7"/>
  <c r="A11" i="7"/>
  <c r="G10" i="7"/>
  <c r="F10" i="7"/>
  <c r="B10" i="7"/>
  <c r="A10" i="7"/>
  <c r="G9" i="7"/>
  <c r="F9" i="7"/>
  <c r="B9" i="7"/>
  <c r="A9" i="7"/>
  <c r="I8" i="7"/>
  <c r="G8" i="7"/>
  <c r="F8" i="7"/>
  <c r="B8" i="7"/>
  <c r="A8" i="7"/>
  <c r="B15" i="4"/>
  <c r="A15" i="4"/>
  <c r="C13" i="4"/>
  <c r="B13" i="4"/>
  <c r="C12" i="4"/>
  <c r="B12" i="4"/>
  <c r="G11" i="4"/>
  <c r="F11" i="4"/>
  <c r="C11" i="4"/>
  <c r="B11" i="4"/>
  <c r="A11" i="4"/>
  <c r="G10" i="4"/>
  <c r="F10" i="4"/>
  <c r="B10" i="4"/>
  <c r="A10" i="4"/>
  <c r="G9" i="4"/>
  <c r="F9" i="4"/>
  <c r="B9" i="4"/>
  <c r="A9" i="4"/>
  <c r="I8" i="4"/>
  <c r="G8" i="4"/>
  <c r="F8" i="4"/>
  <c r="B8" i="4"/>
  <c r="A8" i="4"/>
  <c r="B15" i="2"/>
  <c r="A15" i="2"/>
  <c r="C13" i="2"/>
  <c r="B13" i="2"/>
  <c r="C12" i="2"/>
  <c r="B12" i="2"/>
  <c r="G11" i="2"/>
  <c r="F11" i="2"/>
  <c r="C11" i="2"/>
  <c r="B11" i="2"/>
  <c r="A11" i="2"/>
  <c r="G10" i="2"/>
  <c r="F10" i="2"/>
  <c r="B10" i="2"/>
  <c r="A10" i="2"/>
  <c r="G9" i="2"/>
  <c r="F9" i="2"/>
  <c r="B9" i="2"/>
  <c r="A9" i="2"/>
  <c r="I8" i="2"/>
  <c r="G8" i="2"/>
  <c r="F8" i="2"/>
  <c r="B8" i="2"/>
  <c r="A8" i="2"/>
  <c r="J8" i="1"/>
  <c r="G11" i="1"/>
  <c r="G10" i="1"/>
  <c r="G9" i="1"/>
  <c r="G8" i="1"/>
  <c r="F11" i="1"/>
  <c r="F10" i="1"/>
  <c r="F9" i="1"/>
  <c r="F8" i="1"/>
  <c r="B15" i="1"/>
  <c r="C13" i="1"/>
  <c r="C12" i="1"/>
  <c r="C11" i="1"/>
  <c r="B13" i="1"/>
  <c r="B12" i="1"/>
  <c r="B11" i="1"/>
  <c r="B10" i="1"/>
  <c r="B9" i="1"/>
  <c r="B8" i="1"/>
  <c r="A15" i="1"/>
  <c r="A11" i="1"/>
  <c r="A9" i="1"/>
  <c r="A10" i="1"/>
  <c r="A8" i="1"/>
  <c r="O9" i="3"/>
  <c r="N9" i="7"/>
  <c r="P9" i="1"/>
  <c r="H25" i="3"/>
  <c r="H26" i="3"/>
  <c r="H27" i="3"/>
  <c r="F22" i="3"/>
  <c r="F24" i="3"/>
  <c r="F25" i="3"/>
  <c r="F26" i="3"/>
  <c r="F27" i="3"/>
  <c r="F20" i="3"/>
  <c r="M35" i="6" l="1"/>
  <c r="L30" i="6" s="1"/>
  <c r="M36" i="6"/>
  <c r="M34" i="6"/>
  <c r="L29" i="6" s="1"/>
  <c r="M33" i="6"/>
  <c r="L28" i="6" s="1"/>
</calcChain>
</file>

<file path=xl/sharedStrings.xml><?xml version="1.0" encoding="utf-8"?>
<sst xmlns="http://schemas.openxmlformats.org/spreadsheetml/2006/main" count="603" uniqueCount="251">
  <si>
    <t>ID del proyecto:</t>
  </si>
  <si>
    <t>com001-pe26 | td029-bf26</t>
  </si>
  <si>
    <t>Tipo de Cambio:</t>
  </si>
  <si>
    <t>Normal</t>
  </si>
  <si>
    <t>Comentarios adicionales.</t>
  </si>
  <si>
    <t>Nombre del proyecto</t>
  </si>
  <si>
    <t>Club Macropay | Compras con Macropesos no descuentan los Macropesos usados a los  clientes</t>
  </si>
  <si>
    <t>Prioridad:</t>
  </si>
  <si>
    <t>Alta</t>
  </si>
  <si>
    <t>Plataformas impactadas:</t>
  </si>
  <si>
    <t>PF, POS, APP, Mulesfort, Salesforce, Infobip</t>
  </si>
  <si>
    <t>Riesgo:</t>
  </si>
  <si>
    <t>Medio</t>
  </si>
  <si>
    <t>Líder del Cambio:</t>
  </si>
  <si>
    <t>Arquitecto</t>
  </si>
  <si>
    <t>Henry Suárez Hernández/Jonathan Mauricio López</t>
  </si>
  <si>
    <t>Afecta la operación:</t>
  </si>
  <si>
    <t>Si</t>
  </si>
  <si>
    <t>Project Manager</t>
  </si>
  <si>
    <t>Maria Alicia Moguel | Ivan Torres</t>
  </si>
  <si>
    <t xml:space="preserve">Líder de Célula </t>
  </si>
  <si>
    <t>Pablo Genaro Sanchez</t>
  </si>
  <si>
    <t xml:space="preserve">Líder Técnico </t>
  </si>
  <si>
    <t>Ambiente:</t>
  </si>
  <si>
    <t>PROD</t>
  </si>
  <si>
    <t>Componentes a desplegar:</t>
  </si>
  <si>
    <t>CUESTIONARIO DE EVALUACIÓN RIESGO</t>
  </si>
  <si>
    <t>Evaluación de Riesgo</t>
  </si>
  <si>
    <t>Tiempos de despliegue</t>
  </si>
  <si>
    <t xml:space="preserve">Delta máxima permitida </t>
  </si>
  <si>
    <t>¿Cuándo realizar el cambio?</t>
  </si>
  <si>
    <t>Durante el día operativo</t>
  </si>
  <si>
    <t>Actividades Previas</t>
  </si>
  <si>
    <t>¿Qué implica el cambio?</t>
  </si>
  <si>
    <t>Ambos (desarrollo de software e infraestructura).</t>
  </si>
  <si>
    <t>Actividades de Liberación</t>
  </si>
  <si>
    <t>¿Requiere Validaciones?</t>
  </si>
  <si>
    <t>Sí se requiren pruebas</t>
  </si>
  <si>
    <t>Actividades de Validación</t>
  </si>
  <si>
    <t>Actividades de Valición</t>
  </si>
  <si>
    <t>Actividades de Rollback</t>
  </si>
  <si>
    <t>Avance de despliegue</t>
  </si>
  <si>
    <t>AREAS INVOLUCRADAS</t>
  </si>
  <si>
    <t>Área</t>
  </si>
  <si>
    <t>Área Nom</t>
  </si>
  <si>
    <t xml:space="preserve">Ejecutor </t>
  </si>
  <si>
    <t>Back de ejecutor</t>
  </si>
  <si>
    <t>Selecciona</t>
  </si>
  <si>
    <t>Administracion de Bases de Datos</t>
  </si>
  <si>
    <t>DBA</t>
  </si>
  <si>
    <t>Aplicaciones</t>
  </si>
  <si>
    <t>APP</t>
  </si>
  <si>
    <t>Ciberseguridad</t>
  </si>
  <si>
    <t>Ciber</t>
  </si>
  <si>
    <t>Desarrollo</t>
  </si>
  <si>
    <t>DEV</t>
  </si>
  <si>
    <t>Devops</t>
  </si>
  <si>
    <t>Martin de la Cruz Bartolo</t>
  </si>
  <si>
    <t>Gestor de identidad y accesos</t>
  </si>
  <si>
    <t>IAM</t>
  </si>
  <si>
    <t>Infraestructura Cloud</t>
  </si>
  <si>
    <t>Cloud</t>
  </si>
  <si>
    <t>Infraestructura SAP</t>
  </si>
  <si>
    <t>SAP</t>
  </si>
  <si>
    <t>Innovación</t>
  </si>
  <si>
    <t>INOV</t>
  </si>
  <si>
    <t>Office 365</t>
  </si>
  <si>
    <t>ACTIVIDADES PREVIAS</t>
  </si>
  <si>
    <t>No. Tarea</t>
  </si>
  <si>
    <t>Descripción de la tarea</t>
  </si>
  <si>
    <t>Servidor</t>
  </si>
  <si>
    <t>Nubes/Cuenta</t>
  </si>
  <si>
    <t>Estimación (Minutos)</t>
  </si>
  <si>
    <t>Hito</t>
  </si>
  <si>
    <t>Comentarios</t>
  </si>
  <si>
    <t>Estado</t>
  </si>
  <si>
    <r>
      <t xml:space="preserve">Ejecutar la migración de tablas de la Base de datos: </t>
    </r>
    <r>
      <rPr>
        <b/>
        <sz val="11"/>
        <color rgb="FF000000"/>
        <rFont val="Calibri"/>
        <family val="2"/>
      </rPr>
      <t>MacropayVentasApartado</t>
    </r>
    <r>
      <rPr>
        <sz val="11"/>
        <color rgb="FF000000"/>
        <rFont val="Calibri"/>
        <family val="2"/>
      </rPr>
      <t xml:space="preserve">; se especifican algunas tablas con la migración con datos:
</t>
    </r>
    <r>
      <rPr>
        <b/>
        <i/>
        <sz val="11"/>
        <color rgb="FF0070C0"/>
        <rFont val="Calibri"/>
        <family val="2"/>
      </rPr>
      <t xml:space="preserve">- CM_Ahorro
- CM_AhorroMovimiento
- CM_Configuracion (Migrar datos)
- CM_LogReproceso </t>
    </r>
  </si>
  <si>
    <t>bdmpf.macropay.mx</t>
  </si>
  <si>
    <t>AWS
910617026399</t>
  </si>
  <si>
    <t>En espera</t>
  </si>
  <si>
    <r>
      <rPr>
        <sz val="11"/>
        <color rgb="FF000000"/>
        <rFont val="Calibri"/>
        <family val="2"/>
      </rPr>
      <t xml:space="preserve">Crear el </t>
    </r>
    <r>
      <rPr>
        <b/>
        <sz val="11"/>
        <color rgb="FF000000"/>
        <rFont val="Calibri"/>
        <family val="2"/>
      </rPr>
      <t xml:space="preserve">Secret Manager </t>
    </r>
    <r>
      <rPr>
        <sz val="11"/>
        <color rgb="FF000000"/>
        <rFont val="Calibri"/>
        <family val="2"/>
      </rPr>
      <t>con los datos de archivo de variables de entorno para componente:</t>
    </r>
    <r>
      <rPr>
        <b/>
        <sz val="11"/>
        <color rgb="FF000000"/>
        <rFont val="Calibri"/>
        <family val="2"/>
      </rPr>
      <t xml:space="preserve"> https://github.com/MacropayTD/midd-macropay-club
Archivo:</t>
    </r>
    <r>
      <rPr>
        <sz val="11"/>
        <color rgb="FF000000"/>
        <rFont val="Calibri"/>
        <family val="2"/>
      </rPr>
      <t xml:space="preserve"> </t>
    </r>
    <r>
      <rPr>
        <b/>
        <sz val="11"/>
        <color rgb="FF215C98"/>
        <rFont val="Calibri"/>
        <family val="2"/>
      </rPr>
      <t>env_midd_club_macropay.txt</t>
    </r>
  </si>
  <si>
    <r>
      <rPr>
        <sz val="11"/>
        <color rgb="FF000000"/>
        <rFont val="Calibri"/>
        <family val="2"/>
      </rPr>
      <t xml:space="preserve">Crear usuario </t>
    </r>
    <r>
      <rPr>
        <b/>
        <sz val="11"/>
        <color rgb="FF000000"/>
        <rFont val="Calibri"/>
        <family val="2"/>
      </rPr>
      <t>srv-macropay-club</t>
    </r>
    <r>
      <rPr>
        <sz val="11"/>
        <color rgb="FF000000"/>
        <rFont val="Calibri"/>
        <family val="2"/>
      </rPr>
      <t xml:space="preserve"> de base de datos para el componente </t>
    </r>
    <r>
      <rPr>
        <b/>
        <sz val="11"/>
        <color rgb="FF000000"/>
        <rFont val="Calibri"/>
        <family val="2"/>
      </rPr>
      <t>midd-macropay-club
Migrar los permisos de QA3 a PROD</t>
    </r>
  </si>
  <si>
    <r>
      <t xml:space="preserve">Ejecutar los siguientes Scripts en la base de datos </t>
    </r>
    <r>
      <rPr>
        <b/>
        <sz val="11"/>
        <color rgb="FF000000"/>
        <rFont val="Calibri"/>
        <family val="2"/>
      </rPr>
      <t>MacropayVentasApartado</t>
    </r>
    <r>
      <rPr>
        <sz val="11"/>
        <color rgb="FF000000"/>
        <rFont val="Calibri"/>
        <family val="2"/>
      </rPr>
      <t xml:space="preserve">:
</t>
    </r>
    <r>
      <rPr>
        <b/>
        <sz val="11"/>
        <color rgb="FF000000"/>
        <rFont val="Calibri"/>
        <family val="2"/>
      </rPr>
      <t>- 12_INSERT_TYPE_MOVIMENT_BON_v1</t>
    </r>
  </si>
  <si>
    <r>
      <t xml:space="preserve">Ejecutar los siguientes Scripts en la base de datos </t>
    </r>
    <r>
      <rPr>
        <b/>
        <sz val="11"/>
        <color rgb="FF000000"/>
        <rFont val="Calibri"/>
        <family val="2"/>
      </rPr>
      <t>MacropayPF</t>
    </r>
    <r>
      <rPr>
        <sz val="11"/>
        <color rgb="FF000000"/>
        <rFont val="Calibri"/>
        <family val="2"/>
      </rPr>
      <t xml:space="preserve">:
</t>
    </r>
    <r>
      <rPr>
        <b/>
        <sz val="11"/>
        <color rgb="FF000000"/>
        <rFont val="Calibri"/>
        <family val="2"/>
      </rPr>
      <t>- 10_ALTER_TBL_PFM_SolicitudMacropay_v1</t>
    </r>
    <r>
      <rPr>
        <sz val="11"/>
        <color rgb="FF000000"/>
        <rFont val="Calibri"/>
        <family val="2"/>
      </rPr>
      <t xml:space="preserve">
</t>
    </r>
    <r>
      <rPr>
        <b/>
        <sz val="11"/>
        <color rgb="FF000000"/>
        <rFont val="Calibri"/>
        <family val="2"/>
      </rPr>
      <t>- 11_ALTER_TBL_PFM_Carrito_v1</t>
    </r>
  </si>
  <si>
    <r>
      <t xml:space="preserve">Ejecutar los siguientes Scripts en la base de datos </t>
    </r>
    <r>
      <rPr>
        <b/>
        <sz val="11"/>
        <color rgb="FF000000"/>
        <rFont val="Calibri"/>
        <family val="2"/>
      </rPr>
      <t>SoftCredito</t>
    </r>
    <r>
      <rPr>
        <sz val="11"/>
        <color rgb="FF000000"/>
        <rFont val="Calibri"/>
        <family val="2"/>
      </rPr>
      <t xml:space="preserve">:
</t>
    </r>
    <r>
      <rPr>
        <b/>
        <sz val="11"/>
        <color rgb="FF000000"/>
        <rFont val="Calibri"/>
        <family val="2"/>
      </rPr>
      <t>- 04_alter_add_fgClubMacropay.sql
- 06_sp_pfm_solicitud_macropay.sql
- 07_sp_gm_SAP_POS_ZVF_Ventas_Financiadas_Encabezado.sql
- 08_vw_mpf_SAP_ZVF_ventas_financiadas_encabezado_phx.sql</t>
    </r>
  </si>
  <si>
    <r>
      <t xml:space="preserve">Ejecutar los siguientes Scripts en la base de datos </t>
    </r>
    <r>
      <rPr>
        <b/>
        <sz val="11"/>
        <color rgb="FF000000"/>
        <rFont val="Calibri"/>
        <family val="2"/>
      </rPr>
      <t>MacropayMobile</t>
    </r>
    <r>
      <rPr>
        <sz val="11"/>
        <color rgb="FF000000"/>
        <rFont val="Calibri"/>
        <family val="2"/>
      </rPr>
      <t xml:space="preserve">:
- </t>
    </r>
    <r>
      <rPr>
        <b/>
        <sz val="11"/>
        <color rgb="FF000000"/>
        <rFont val="Calibri"/>
        <family val="2"/>
      </rPr>
      <t>09_inserts_catCatalogoBeneficios.sql
- 05_inserts_catVersionesBeneficios.sql</t>
    </r>
  </si>
  <si>
    <r>
      <rPr>
        <sz val="11"/>
        <color rgb="FF000000"/>
        <rFont val="Calibri"/>
        <family val="2"/>
      </rPr>
      <t xml:space="preserve">Desplegar componente de  </t>
    </r>
    <r>
      <rPr>
        <b/>
        <sz val="11"/>
        <color rgb="FF000000"/>
        <rFont val="Calibri"/>
        <family val="2"/>
      </rPr>
      <t>mcp-benefits-wallets-api (Pestaña INFRA y DEVOPS) componente #5</t>
    </r>
  </si>
  <si>
    <t>Mulesoft PROD</t>
  </si>
  <si>
    <t>Mulesoft</t>
  </si>
  <si>
    <t>Apoyo MIDD - Equipo Mulesoft</t>
  </si>
  <si>
    <r>
      <rPr>
        <sz val="11"/>
        <color rgb="FF000000"/>
        <rFont val="Calibri"/>
        <family val="2"/>
      </rPr>
      <t xml:space="preserve">Creacion de usuario </t>
    </r>
    <r>
      <rPr>
        <b/>
        <sz val="11"/>
        <color rgb="FF000000"/>
        <rFont val="Calibri"/>
        <family val="2"/>
      </rPr>
      <t>srv-benefits-wallets-api motor de postgresql (cliente unico)</t>
    </r>
  </si>
  <si>
    <r>
      <rPr>
        <sz val="11"/>
        <color rgb="FF000000"/>
        <rFont val="Calibri"/>
        <family val="2"/>
      </rPr>
      <t xml:space="preserve">Creacion de usuario </t>
    </r>
    <r>
      <rPr>
        <b/>
        <sz val="11"/>
        <color rgb="FF000000"/>
        <rFont val="Calibri"/>
        <family val="2"/>
      </rPr>
      <t>srv-benefits-wallets-api  motor de sql server</t>
    </r>
  </si>
  <si>
    <r>
      <rPr>
        <sz val="11"/>
        <color rgb="FF000000"/>
        <rFont val="Calibri"/>
        <family val="2"/>
      </rPr>
      <t>Colocacion de las contraseña del usuario</t>
    </r>
    <r>
      <rPr>
        <b/>
        <sz val="11"/>
        <color rgb="FF000000"/>
        <rFont val="Calibri"/>
        <family val="2"/>
      </rPr>
      <t xml:space="preserve"> srv-benefits-wallets-api </t>
    </r>
    <r>
      <rPr>
        <sz val="11"/>
        <color rgb="FF000000"/>
        <rFont val="Calibri"/>
        <family val="2"/>
      </rPr>
      <t>del motor de sql server, 
en el componente</t>
    </r>
    <r>
      <rPr>
        <b/>
        <sz val="11"/>
        <color rgb="FF000000"/>
        <rFont val="Calibri"/>
        <family val="2"/>
      </rPr>
      <t xml:space="preserve"> mcp-benefits-wallets-api </t>
    </r>
    <r>
      <rPr>
        <sz val="11"/>
        <color rgb="FF000000"/>
        <rFont val="Calibri"/>
        <family val="2"/>
      </rPr>
      <t xml:space="preserve">(Mulesoft) en la variable de entorno </t>
    </r>
    <r>
      <rPr>
        <b/>
        <sz val="11"/>
        <color rgb="FF000000"/>
        <rFont val="Calibri"/>
        <family val="2"/>
      </rPr>
      <t xml:space="preserve"> secure::db.macropayVentasApartado.password</t>
    </r>
  </si>
  <si>
    <r>
      <rPr>
        <sz val="11"/>
        <color rgb="FF000000"/>
        <rFont val="Calibri"/>
        <family val="2"/>
      </rPr>
      <t>Colocacion de las contraseña del usuario</t>
    </r>
    <r>
      <rPr>
        <b/>
        <sz val="11"/>
        <color rgb="FF000000"/>
        <rFont val="Calibri"/>
        <family val="2"/>
      </rPr>
      <t xml:space="preserve"> srv-benefits-wallets-api </t>
    </r>
    <r>
      <rPr>
        <sz val="11"/>
        <color rgb="FF000000"/>
        <rFont val="Calibri"/>
        <family val="2"/>
      </rPr>
      <t>del motor de postgresql, 
en el componente</t>
    </r>
    <r>
      <rPr>
        <b/>
        <sz val="11"/>
        <color rgb="FF000000"/>
        <rFont val="Calibri"/>
        <family val="2"/>
      </rPr>
      <t xml:space="preserve"> mcp-benefits-wallets-api </t>
    </r>
    <r>
      <rPr>
        <sz val="11"/>
        <color rgb="FF000000"/>
        <rFont val="Calibri"/>
        <family val="2"/>
      </rPr>
      <t xml:space="preserve">(Mulesoft) en la variable de entorno </t>
    </r>
    <r>
      <rPr>
        <b/>
        <sz val="11"/>
        <color rgb="FF000000"/>
        <rFont val="Calibri"/>
        <family val="2"/>
      </rPr>
      <t xml:space="preserve"> secure::db.uniqueCustomer.password</t>
    </r>
  </si>
  <si>
    <r>
      <rPr>
        <sz val="11"/>
        <color rgb="FF000000"/>
        <rFont val="Calibri"/>
        <family val="2"/>
      </rPr>
      <t xml:space="preserve">Colocacion de las credenciales de </t>
    </r>
    <r>
      <rPr>
        <b/>
        <sz val="11"/>
        <color rgb="FF000000"/>
        <rFont val="Calibri"/>
        <family val="2"/>
      </rPr>
      <t xml:space="preserve">Salesforce </t>
    </r>
    <r>
      <rPr>
        <sz val="11"/>
        <color rgb="FF000000"/>
        <rFont val="Calibri"/>
        <family val="2"/>
      </rPr>
      <t xml:space="preserve">en el componente </t>
    </r>
    <r>
      <rPr>
        <b/>
        <sz val="11"/>
        <color rgb="FF000000"/>
        <rFont val="Calibri"/>
        <family val="2"/>
      </rPr>
      <t>mcp-benefits-wallets-api</t>
    </r>
    <r>
      <rPr>
        <sz val="11"/>
        <color rgb="FF000000"/>
        <rFont val="Calibri"/>
        <family val="2"/>
      </rPr>
      <t xml:space="preserve"> (Mulesoft) en la variables de entorno  
</t>
    </r>
    <r>
      <rPr>
        <b/>
        <sz val="11"/>
        <color rgb="FF000000"/>
        <rFont val="Calibri"/>
        <family val="2"/>
      </rPr>
      <t>secure::salesforce.client_id
secure::salesforce.client_secret
secure::salesforce.token_url</t>
    </r>
  </si>
  <si>
    <t>UAT</t>
  </si>
  <si>
    <t>Salesforce</t>
  </si>
  <si>
    <r>
      <rPr>
        <sz val="11"/>
        <color rgb="FF000000"/>
        <rFont val="Calibri"/>
        <family val="2"/>
      </rPr>
      <t xml:space="preserve">Agregar las variables en el secret  componente: </t>
    </r>
    <r>
      <rPr>
        <b/>
        <sz val="11"/>
        <color rgb="FF000000"/>
        <rFont val="Calibri"/>
        <family val="2"/>
      </rPr>
      <t xml:space="preserve">"/EKS/***/productos-financieros/front-pf-calculator"
</t>
    </r>
    <r>
      <rPr>
        <sz val="11"/>
        <color rgb="FF000000"/>
        <rFont val="Calibri"/>
        <family val="2"/>
      </rPr>
      <t xml:space="preserve">- Archivo:  </t>
    </r>
    <r>
      <rPr>
        <b/>
        <sz val="11"/>
        <color rgb="FF000000"/>
        <rFont val="Calibri"/>
        <family val="2"/>
      </rPr>
      <t>env_front_pf_calculator.txt</t>
    </r>
  </si>
  <si>
    <t>AWS PROD</t>
  </si>
  <si>
    <r>
      <rPr>
        <sz val="11"/>
        <color rgb="FF000000"/>
        <rFont val="Calibri"/>
        <family val="2"/>
      </rPr>
      <t xml:space="preserve">Cambiar el contenido de la variable </t>
    </r>
    <r>
      <rPr>
        <b/>
        <i/>
        <sz val="11"/>
        <color rgb="FF000000"/>
        <rFont val="Calibri"/>
        <family val="2"/>
      </rPr>
      <t>“reminderConfig”</t>
    </r>
    <r>
      <rPr>
        <sz val="11"/>
        <color rgb="FF000000"/>
        <rFont val="Calibri"/>
        <family val="2"/>
      </rPr>
      <t xml:space="preserve"> en Firebase Remote config para el proyecto </t>
    </r>
    <r>
      <rPr>
        <b/>
        <sz val="11"/>
        <color rgb="FF215C98"/>
        <rFont val="Calibri"/>
        <family val="2"/>
      </rPr>
      <t>Macropay-AppV3 y Macropay-IOS</t>
    </r>
    <r>
      <rPr>
        <sz val="11"/>
        <color rgb="FF000000"/>
        <rFont val="Calibri"/>
        <family val="2"/>
      </rPr>
      <t>, con el contenido del archivo reminderConfig.json</t>
    </r>
  </si>
  <si>
    <r>
      <t>Ejecutar Script:</t>
    </r>
    <r>
      <rPr>
        <b/>
        <sz val="11"/>
        <color theme="1"/>
        <rFont val="Calibri"/>
        <family val="2"/>
      </rPr>
      <t xml:space="preserve"> 01_ALT_TBL_LEA_RegistroToken.sql</t>
    </r>
    <r>
      <rPr>
        <sz val="11"/>
        <color theme="1"/>
        <rFont val="Calibri"/>
        <family val="2"/>
      </rPr>
      <t xml:space="preserve"> y </t>
    </r>
    <r>
      <rPr>
        <b/>
        <sz val="11"/>
        <color theme="1"/>
        <rFont val="Calibri"/>
        <family val="2"/>
      </rPr>
      <t>02_INSERT_LEA_cat_MetodoPago.sql</t>
    </r>
  </si>
  <si>
    <t>Independiente</t>
  </si>
  <si>
    <r>
      <rPr>
        <sz val="11"/>
        <color rgb="FF000000"/>
        <rFont val="Calibri"/>
        <family val="2"/>
      </rPr>
      <t xml:space="preserve">Desplegar el repositorio: </t>
    </r>
    <r>
      <rPr>
        <b/>
        <sz val="11"/>
        <color rgb="FF000000"/>
        <rFont val="Calibri"/>
        <family val="2"/>
      </rPr>
      <t>"MacropayTD/POS-service-back" (Pestaña INFRA y DEVOPS)</t>
    </r>
  </si>
  <si>
    <t>pxprd.macropay.mx</t>
  </si>
  <si>
    <r>
      <t>Generar el compilado del front del POS:</t>
    </r>
    <r>
      <rPr>
        <b/>
        <sz val="11"/>
        <color theme="1"/>
        <rFont val="Calibri"/>
        <family val="2"/>
      </rPr>
      <t xml:space="preserve"> "MacropayTD/POS-service-front" (Pestaña INFRA y DEVOPS)</t>
    </r>
    <r>
      <rPr>
        <sz val="11"/>
        <color theme="1"/>
        <rFont val="Calibri"/>
        <family val="2"/>
      </rPr>
      <t xml:space="preserve">, la versión del empaquetado debe ser con la </t>
    </r>
    <r>
      <rPr>
        <b/>
        <sz val="11"/>
        <color rgb="FFFF0000"/>
        <rFont val="Calibri"/>
        <family val="2"/>
      </rPr>
      <t>7.9.8</t>
    </r>
    <r>
      <rPr>
        <sz val="11"/>
        <color theme="1"/>
        <rFont val="Calibri"/>
        <family val="2"/>
      </rPr>
      <t xml:space="preserve"> de Electron: </t>
    </r>
    <r>
      <rPr>
        <b/>
        <sz val="11"/>
        <color theme="1"/>
        <rFont val="Calibri"/>
        <family val="2"/>
      </rPr>
      <t>https://github.com/MacropayTD/POS-Instalador</t>
    </r>
    <r>
      <rPr>
        <sz val="11"/>
        <color theme="1"/>
        <rFont val="Calibri"/>
        <family val="2"/>
      </rPr>
      <t xml:space="preserve"> utilizar la rama Release, junto Angular deben ambos configurarse con el numero consecutivo al ambiente.
</t>
    </r>
    <r>
      <rPr>
        <b/>
        <sz val="11"/>
        <color theme="1"/>
        <rFont val="Calibri"/>
        <family val="2"/>
      </rPr>
      <t>- Mantener la variables de entorno actuales.</t>
    </r>
  </si>
  <si>
    <r>
      <rPr>
        <sz val="11"/>
        <color rgb="FF000000"/>
        <rFont val="Calibri"/>
        <family val="2"/>
      </rPr>
      <t xml:space="preserve">Desplegar el repositorio: </t>
    </r>
    <r>
      <rPr>
        <b/>
        <sz val="11"/>
        <color rgb="FF000000"/>
        <rFont val="Calibri"/>
        <family val="2"/>
      </rPr>
      <t>"MacropayTD/back-api-ec-lealtad" (Pestaña INFRA y DEVOPS)</t>
    </r>
  </si>
  <si>
    <r>
      <t>Ejecutar el siguiente Script:</t>
    </r>
    <r>
      <rPr>
        <b/>
        <sz val="11"/>
        <color theme="1"/>
        <rFont val="Calibri"/>
        <family val="2"/>
      </rPr>
      <t xml:space="preserve"> 03_INSERT_PAYMENT_METHOD.sql</t>
    </r>
  </si>
  <si>
    <t>bdpos.macropay.mx</t>
  </si>
  <si>
    <r>
      <t xml:space="preserve">Desplegar el repositorio: </t>
    </r>
    <r>
      <rPr>
        <b/>
        <sz val="11"/>
        <color theme="1"/>
        <rFont val="Calibri"/>
        <family val="2"/>
      </rPr>
      <t xml:space="preserve">"MacropayTD/back-api-ticket-pos" (Pestaña INFRA y DEVOPS)
</t>
    </r>
    <r>
      <rPr>
        <sz val="11"/>
        <color theme="1"/>
        <rFont val="Calibri"/>
        <family val="2"/>
      </rPr>
      <t xml:space="preserve">
</t>
    </r>
    <r>
      <rPr>
        <b/>
        <sz val="11"/>
        <color theme="1"/>
        <rFont val="Calibri"/>
        <family val="2"/>
      </rPr>
      <t xml:space="preserve"> - Mantener mismas variables de entorno.</t>
    </r>
  </si>
  <si>
    <r>
      <rPr>
        <sz val="11"/>
        <color rgb="FF000000"/>
        <rFont val="Calibri"/>
        <family val="2"/>
      </rPr>
      <t xml:space="preserve">Desplegar el repositorio: </t>
    </r>
    <r>
      <rPr>
        <b/>
        <sz val="11"/>
        <color rgb="FF000000"/>
        <rFont val="Calibri"/>
        <family val="2"/>
      </rPr>
      <t xml:space="preserve">"https://github.com/MacropayTD/api-infobip-chatbot" (Pestaña INFRA y DEVOPS)
</t>
    </r>
    <r>
      <rPr>
        <sz val="11"/>
        <color rgb="FF000000"/>
        <rFont val="Calibri"/>
        <family val="2"/>
      </rPr>
      <t xml:space="preserve">
</t>
    </r>
    <r>
      <rPr>
        <b/>
        <sz val="11"/>
        <color rgb="FF000000"/>
        <rFont val="Calibri"/>
        <family val="2"/>
      </rPr>
      <t xml:space="preserve"> - Se incluyen nuevas variables de entorno.</t>
    </r>
  </si>
  <si>
    <r>
      <rPr>
        <sz val="11"/>
        <color rgb="FF000000"/>
        <rFont val="Calibri"/>
        <family val="2"/>
      </rPr>
      <t xml:space="preserve">Despliegue del componente </t>
    </r>
    <r>
      <rPr>
        <b/>
        <sz val="11"/>
        <color rgb="FF000000"/>
        <rFont val="Calibri"/>
        <family val="2"/>
      </rPr>
      <t>front-pf-calculator</t>
    </r>
    <r>
      <rPr>
        <sz val="11"/>
        <color rgb="FF000000"/>
        <rFont val="Calibri"/>
        <family val="2"/>
      </rPr>
      <t xml:space="preserve"> con la configuración de </t>
    </r>
    <r>
      <rPr>
        <b/>
        <sz val="11"/>
        <color rgb="FF000000"/>
        <rFont val="Calibri"/>
        <family val="2"/>
      </rPr>
      <t>PROD</t>
    </r>
    <r>
      <rPr>
        <sz val="11"/>
        <color rgb="FF000000"/>
        <rFont val="Calibri"/>
        <family val="2"/>
      </rPr>
      <t xml:space="preserve"> en INFRA Y DEVOPS
</t>
    </r>
    <r>
      <rPr>
        <b/>
        <sz val="11"/>
        <color rgb="FF000000"/>
        <rFont val="Calibri"/>
        <family val="2"/>
      </rPr>
      <t xml:space="preserve"> - Se incluyen nuevas variables de entorno compartidas en el archivo:  env_front_pf_calculator.txt</t>
    </r>
  </si>
  <si>
    <r>
      <rPr>
        <sz val="11"/>
        <color rgb="FF000000"/>
        <rFont val="Calibri"/>
        <family val="2"/>
      </rPr>
      <t xml:space="preserve">Despliegue del componente </t>
    </r>
    <r>
      <rPr>
        <b/>
        <sz val="11"/>
        <color rgb="FF000000"/>
        <rFont val="Calibri"/>
        <family val="2"/>
      </rPr>
      <t>front-pf-payments</t>
    </r>
    <r>
      <rPr>
        <sz val="11"/>
        <color rgb="FF000000"/>
        <rFont val="Calibri"/>
        <family val="2"/>
      </rPr>
      <t xml:space="preserve"> con la configuración de </t>
    </r>
    <r>
      <rPr>
        <b/>
        <sz val="11"/>
        <color rgb="FF000000"/>
        <rFont val="Calibri"/>
        <family val="2"/>
      </rPr>
      <t>PROD</t>
    </r>
    <r>
      <rPr>
        <sz val="11"/>
        <color rgb="FF000000"/>
        <rFont val="Calibri"/>
        <family val="2"/>
      </rPr>
      <t xml:space="preserve"> en INFRA Y DEVOPS
</t>
    </r>
    <r>
      <rPr>
        <b/>
        <sz val="11"/>
        <color rgb="FF000000"/>
        <rFont val="Calibri"/>
        <family val="2"/>
      </rPr>
      <t xml:space="preserve"> - Sin cambio de variables</t>
    </r>
  </si>
  <si>
    <t>DevOps</t>
  </si>
  <si>
    <r>
      <rPr>
        <sz val="11"/>
        <color rgb="FF000000"/>
        <rFont val="Calibri"/>
        <family val="2"/>
      </rPr>
      <t xml:space="preserve">Despleguar el paquete de cambios contenidos en la </t>
    </r>
    <r>
      <rPr>
        <b/>
        <sz val="11"/>
        <color rgb="FF000000"/>
        <rFont val="Calibri"/>
        <family val="2"/>
      </rPr>
      <t>Pestaña INFRA y DEVOPS</t>
    </r>
    <r>
      <rPr>
        <sz val="11"/>
        <color rgb="FF000000"/>
        <rFont val="Calibri"/>
        <family val="2"/>
      </rPr>
      <t xml:space="preserve"> con número </t>
    </r>
    <r>
      <rPr>
        <b/>
        <sz val="11"/>
        <color rgb="FF000000"/>
        <rFont val="Calibri"/>
        <family val="2"/>
      </rPr>
      <t xml:space="preserve">8 </t>
    </r>
    <r>
      <rPr>
        <sz val="11"/>
        <color rgb="FF000000"/>
        <rFont val="Calibri"/>
        <family val="2"/>
      </rPr>
      <t xml:space="preserve">para el componente </t>
    </r>
    <r>
      <rPr>
        <b/>
        <sz val="11"/>
        <color rgb="FF000000"/>
        <rFont val="Calibri"/>
        <family val="2"/>
      </rPr>
      <t>Salesforce</t>
    </r>
  </si>
  <si>
    <t>Sandbox UAT</t>
  </si>
  <si>
    <t>SAP-SFDC</t>
  </si>
  <si>
    <t>Apoyo con Salesforce - Equipo SAP</t>
  </si>
  <si>
    <t>Configurar la tablas por SM30
Crear las siguientes variables en VARVC</t>
  </si>
  <si>
    <t>SAP PROD</t>
  </si>
  <si>
    <t>SAP Funcional</t>
  </si>
  <si>
    <t>Se adjunta documento con al configuracion en el correro de las OT</t>
  </si>
  <si>
    <t>Pasar ordenes de transporte ticket 26-SOL0329358:
DEVK9S0BWA FI_CJ - Club Macropay - Indicador CME para club macropay
DEVK9S0BW7 FI_CJ - Club Macropay - Clases de documento
DEVK9S0BKR WMM_MS_SOL0210501 - Odata Cambalache Entrada v13
DEVK9S0BDI  Club Macropay v01
DEVK9S0BDY - Activación servicio club del ahorro
DEVK9S0CBM WFI_MS_SOL0324232 - Club Macropay - Corrección 1         v01
DEVK9S0C3P - WFI_MS_SOL0312117 - Club Macropay - Cancelaciones        v01
DEVK9S0CFR - WFI_MS_SOL0312117 - Club Macropay - Cancelaciones        v02
DEVK9S0CG2 - WFI_MS_SOL0312117 - Club Macropay - Cancelaciones        v03</t>
  </si>
  <si>
    <t>SAP BASIS</t>
  </si>
  <si>
    <r>
      <rPr>
        <sz val="11"/>
        <color rgb="FF000000"/>
        <rFont val="Calibri"/>
        <family val="2"/>
      </rPr>
      <t xml:space="preserve">Colocacion de las contraseña del usuario </t>
    </r>
    <r>
      <rPr>
        <b/>
        <sz val="11"/>
        <color rgb="FF000000"/>
        <rFont val="Calibri"/>
        <family val="2"/>
      </rPr>
      <t>srv-macropay-club</t>
    </r>
    <r>
      <rPr>
        <sz val="11"/>
        <color rgb="FF000000"/>
        <rFont val="Calibri"/>
        <family val="2"/>
      </rPr>
      <t xml:space="preserve"> para el componente: </t>
    </r>
    <r>
      <rPr>
        <b/>
        <sz val="11"/>
        <color rgb="FF000000"/>
        <rFont val="Calibri"/>
        <family val="2"/>
      </rPr>
      <t>midd-macropay-club</t>
    </r>
    <r>
      <rPr>
        <sz val="11"/>
        <color rgb="FF000000"/>
        <rFont val="Calibri"/>
        <family val="2"/>
      </rPr>
      <t xml:space="preserve">, en la variable de entorno: 
</t>
    </r>
    <r>
      <rPr>
        <b/>
        <sz val="11"/>
        <color rgb="FF000000"/>
        <rFont val="Calibri"/>
        <family val="2"/>
      </rPr>
      <t>- MSSQL_DATABASE_PASSWORD</t>
    </r>
  </si>
  <si>
    <r>
      <rPr>
        <sz val="11"/>
        <color rgb="FF000000"/>
        <rFont val="Calibri"/>
        <family val="2"/>
      </rPr>
      <t xml:space="preserve">Colocación de las credenciales del usuario de </t>
    </r>
    <r>
      <rPr>
        <b/>
        <sz val="11"/>
        <color rgb="FF000000"/>
        <rFont val="Calibri"/>
        <family val="2"/>
      </rPr>
      <t>SAP</t>
    </r>
    <r>
      <rPr>
        <sz val="11"/>
        <color rgb="FF000000"/>
        <rFont val="Calibri"/>
        <family val="2"/>
      </rPr>
      <t xml:space="preserve">, para el componente: </t>
    </r>
    <r>
      <rPr>
        <b/>
        <sz val="11"/>
        <color rgb="FF000000"/>
        <rFont val="Calibri"/>
        <family val="2"/>
      </rPr>
      <t>midd-macropay-club</t>
    </r>
    <r>
      <rPr>
        <sz val="11"/>
        <color rgb="FF000000"/>
        <rFont val="Calibri"/>
        <family val="2"/>
      </rPr>
      <t xml:space="preserve">, en la variable de entorno: 
</t>
    </r>
    <r>
      <rPr>
        <b/>
        <sz val="11"/>
        <color rgb="FF000000"/>
        <rFont val="Calibri"/>
        <family val="2"/>
      </rPr>
      <t xml:space="preserve">- SAP_USER
- SAP_PASSWORD
</t>
    </r>
    <r>
      <rPr>
        <sz val="11"/>
        <color rgb="FF000000"/>
        <rFont val="Calibri"/>
        <family val="2"/>
      </rPr>
      <t>Se pueden obtener del componente</t>
    </r>
    <r>
      <rPr>
        <b/>
        <sz val="11"/>
        <color rgb="FF000000"/>
        <rFont val="Calibri"/>
        <family val="2"/>
      </rPr>
      <t xml:space="preserve"> midd-pf-calculator</t>
    </r>
  </si>
  <si>
    <r>
      <rPr>
        <sz val="11"/>
        <color rgb="FF000000"/>
        <rFont val="Calibri"/>
        <family val="2"/>
      </rPr>
      <t xml:space="preserve">Colocacion de las credenciales del componente de </t>
    </r>
    <r>
      <rPr>
        <b/>
        <sz val="11"/>
        <color rgb="FF000000"/>
        <rFont val="Calibri"/>
        <family val="2"/>
      </rPr>
      <t>Autenticador PF</t>
    </r>
    <r>
      <rPr>
        <sz val="11"/>
        <color rgb="FF000000"/>
        <rFont val="Calibri"/>
        <family val="2"/>
      </rPr>
      <t xml:space="preserve">, en la variable de entorno:
</t>
    </r>
    <r>
      <rPr>
        <b/>
        <sz val="11"/>
        <color rgb="FF000000"/>
        <rFont val="Calibri"/>
        <family val="2"/>
      </rPr>
      <t>- AUTH_PASSWORD
- AUTH_USERNAME</t>
    </r>
  </si>
  <si>
    <r>
      <t xml:space="preserve">Despliegue del componente: </t>
    </r>
    <r>
      <rPr>
        <b/>
        <sz val="11"/>
        <color rgb="FF000000"/>
        <rFont val="Calibri"/>
        <family val="2"/>
      </rPr>
      <t>https://github.com/MacropayTD/midd-macropay-club</t>
    </r>
  </si>
  <si>
    <r>
      <rPr>
        <sz val="11"/>
        <color rgb="FF000000"/>
        <rFont val="Calibri"/>
        <family val="2"/>
      </rPr>
      <t xml:space="preserve">Realizar el resguardo de la carta responsiva del usuario creado: 
</t>
    </r>
    <r>
      <rPr>
        <b/>
        <sz val="11"/>
        <color rgb="FF000000"/>
        <rFont val="Calibri"/>
        <family val="2"/>
      </rPr>
      <t>- srv-benefits-wallets-api
- srv-benefits-wallets-api
- srv-macropay-club</t>
    </r>
  </si>
  <si>
    <r>
      <rPr>
        <sz val="11"/>
        <color rgb="FF000000"/>
        <rFont val="Calibri"/>
        <family val="2"/>
      </rPr>
      <t xml:space="preserve">Despliegue del componente: </t>
    </r>
    <r>
      <rPr>
        <b/>
        <sz val="11"/>
        <color rgb="FF000000"/>
        <rFont val="Calibri"/>
        <family val="2"/>
      </rPr>
      <t>https://github.com/MacropayTD/back-apiapp-apartadito</t>
    </r>
  </si>
  <si>
    <r>
      <t xml:space="preserve">Despliegue del componente: </t>
    </r>
    <r>
      <rPr>
        <b/>
        <sz val="11"/>
        <color rgb="FF000000"/>
        <rFont val="Calibri"/>
        <family val="2"/>
      </rPr>
      <t>https://github.com/MacropayTD/midd-pf-sales-summary</t>
    </r>
  </si>
  <si>
    <r>
      <rPr>
        <sz val="10"/>
        <color rgb="FF000000"/>
        <rFont val="Aptos Display"/>
      </rPr>
      <t xml:space="preserve">Dar de baja aplicativo  </t>
    </r>
    <r>
      <rPr>
        <b/>
        <sz val="10"/>
        <color rgb="FF000000"/>
        <rFont val="Aptos Display"/>
      </rPr>
      <t>mcp-apartadito-wallet-api.us-e1.cloudhub.io (dia siguiente)</t>
    </r>
  </si>
  <si>
    <t xml:space="preserve">No. </t>
  </si>
  <si>
    <t>Descripción de la validación</t>
  </si>
  <si>
    <t>Identificador</t>
  </si>
  <si>
    <t>Tipo de Servicio</t>
  </si>
  <si>
    <t>EKS</t>
  </si>
  <si>
    <t>Compilado | Ejecutable</t>
  </si>
  <si>
    <t>Docker -AWS</t>
  </si>
  <si>
    <t>Server AWS(EKS)</t>
  </si>
  <si>
    <t>Server AWS (EC2)</t>
  </si>
  <si>
    <t>Lambda (serveless)</t>
  </si>
  <si>
    <t xml:space="preserve">Tipo de publicacion </t>
  </si>
  <si>
    <t>Privado (No se expone a internet)</t>
  </si>
  <si>
    <t>Público (Se expone a internet)</t>
  </si>
  <si>
    <t>Repositorio</t>
  </si>
  <si>
    <t>https://github.com/MacropayTD/POS-service-back</t>
  </si>
  <si>
    <t>https://github.com/MacropayTD/POS-service-front</t>
  </si>
  <si>
    <t>https://github.com/MacropayTD/back-api-ec-lealtad</t>
  </si>
  <si>
    <t>https://github.com/MacropayTD/api-infobip-chatbot</t>
  </si>
  <si>
    <t>https://github.com/MacropayTD/mcp-benefits-wallets-api</t>
  </si>
  <si>
    <t>https://github.com/MacropayTD/front-pf-calculator</t>
  </si>
  <si>
    <t>https://github.com/MacropayTD/front-pf-payments</t>
  </si>
  <si>
    <t>NA</t>
  </si>
  <si>
    <t>https://github.com/MacropayTD/midd-macropay-club</t>
  </si>
  <si>
    <t>https://github.com/MacropayTD/back-apiapp-apartadito</t>
  </si>
  <si>
    <t>https://github.com/MacropayTD/back-macropay-api-migracion</t>
  </si>
  <si>
    <t>https://github.com/MacropayTD/midd-pf-calculator</t>
  </si>
  <si>
    <t>https://github.com/MacropayTD/back-api-ticket-pos</t>
  </si>
  <si>
    <t>https://github.com/MacropayTD/midd-pf-sales-summary</t>
  </si>
  <si>
    <t>Pull Request</t>
  </si>
  <si>
    <t>#978</t>
  </si>
  <si>
    <t>#888</t>
  </si>
  <si>
    <t>#147</t>
  </si>
  <si>
    <t>#144</t>
  </si>
  <si>
    <t>#2</t>
  </si>
  <si>
    <t>#1042</t>
  </si>
  <si>
    <t>#616</t>
  </si>
  <si>
    <t>#43</t>
  </si>
  <si>
    <t>#27</t>
  </si>
  <si>
    <t>#110</t>
  </si>
  <si>
    <t>#738</t>
  </si>
  <si>
    <t>#70</t>
  </si>
  <si>
    <t>#550</t>
  </si>
  <si>
    <t>Ramas de integración</t>
  </si>
  <si>
    <t>Develop</t>
  </si>
  <si>
    <t>Commit</t>
  </si>
  <si>
    <t>a3769d559875efa8b81dc0a6918ca799ebce3150</t>
  </si>
  <si>
    <t>8666a5ac62bed7130cbdfbdc2d6192c6b8ee57df</t>
  </si>
  <si>
    <t>d1ead818025d819d99feec759cc92bca979e36c3</t>
  </si>
  <si>
    <t>6a5ca35a9af1f24bd2ce980b708efccd9f628630</t>
  </si>
  <si>
    <t>cadd9fecf8c8358eb16c5fabebc1191190d1f50b</t>
  </si>
  <si>
    <t>2bd2c1d75591387fde3f359cdd0437f4961a3ff1</t>
  </si>
  <si>
    <t>49b66556d9e092275f04065cce4765fcdb230acc</t>
  </si>
  <si>
    <t>WI-000000</t>
  </si>
  <si>
    <t>655a76f3a6a342d6e8374fedd7484b3a0f9b196a</t>
  </si>
  <si>
    <t>5ce199b12f670033373b3a259b2f87b54c2e1d97</t>
  </si>
  <si>
    <t>015970ddf7db86e0409be92c306aa13d155b39e7</t>
  </si>
  <si>
    <t>cdcb9450462d8084919ab6792600310d421727f8</t>
  </si>
  <si>
    <t>cd066c9cfd9e0d926792495736aaad289b9a9c83</t>
  </si>
  <si>
    <t>15d0e403e084cd19979660689d865ca3ae07bfba</t>
  </si>
  <si>
    <t>Variables de entorno/Web.config /Archivo de despliegue</t>
  </si>
  <si>
    <t>env_pos_service_back.txt</t>
  </si>
  <si>
    <t>Mantener mismas variables de entorno.</t>
  </si>
  <si>
    <t>env_api_infobit_chatbot.txt</t>
  </si>
  <si>
    <r>
      <rPr>
        <sz val="11"/>
        <color rgb="FF000000"/>
        <rFont val="Aptos Display"/>
        <scheme val="major"/>
      </rPr>
      <t xml:space="preserve">Actualizar la variables de entorno definida en archivo </t>
    </r>
    <r>
      <rPr>
        <b/>
        <sz val="11"/>
        <color rgb="FF000000"/>
        <rFont val="Aptos Display"/>
        <scheme val="major"/>
      </rPr>
      <t>env_front_pf_calculator.txt</t>
    </r>
  </si>
  <si>
    <t>Sin cambio de variables</t>
  </si>
  <si>
    <t>env_midd_club_macropay.txt</t>
  </si>
  <si>
    <t>env_apiapp_apartadito.txt</t>
  </si>
  <si>
    <t>Sin cambio de variables de entorno</t>
  </si>
  <si>
    <t>env_midd_calculator.txt</t>
  </si>
  <si>
    <t>URL</t>
  </si>
  <si>
    <t>https://pxprd.macropay.mx</t>
  </si>
  <si>
    <t>https://club-macropay-qa3.macropay.mx</t>
  </si>
  <si>
    <t>TAG/CECO</t>
  </si>
  <si>
    <t>Componente Salesforce</t>
  </si>
  <si>
    <t>ACTIVIDADES DE VALIDACIÓN</t>
  </si>
  <si>
    <t>Pruebas de no afectacion en POS, y validacion de guardado de venta</t>
  </si>
  <si>
    <t>Pruebas de no afectacion en PF</t>
  </si>
  <si>
    <t>ACTIVIDADES DE ROLLBACK</t>
  </si>
  <si>
    <t>Realizar el rollback en los componentes afectados en el deploy</t>
  </si>
  <si>
    <t>AWS QA3</t>
  </si>
  <si>
    <r>
      <rPr>
        <sz val="11"/>
        <color rgb="FF000000"/>
        <rFont val="Calibri"/>
        <family val="2"/>
      </rPr>
      <t xml:space="preserve">Redespliegue de </t>
    </r>
    <r>
      <rPr>
        <b/>
        <sz val="11"/>
        <color rgb="FF000000"/>
        <rFont val="Calibri"/>
        <family val="2"/>
      </rPr>
      <t xml:space="preserve">front-pf-calculator </t>
    </r>
    <r>
      <rPr>
        <sz val="11"/>
        <color rgb="FF000000"/>
        <rFont val="Calibri"/>
        <family val="2"/>
      </rPr>
      <t xml:space="preserve">de la rama </t>
    </r>
    <r>
      <rPr>
        <b/>
        <sz val="11"/>
        <color rgb="FF000000"/>
        <rFont val="Calibri"/>
        <family val="2"/>
      </rPr>
      <t>Release</t>
    </r>
  </si>
  <si>
    <t>AWS QA4</t>
  </si>
  <si>
    <r>
      <rPr>
        <sz val="11"/>
        <color rgb="FF000000"/>
        <rFont val="Calibri"/>
        <family val="2"/>
      </rPr>
      <t xml:space="preserve">Redespliegue de </t>
    </r>
    <r>
      <rPr>
        <b/>
        <sz val="11"/>
        <color rgb="FF000000"/>
        <rFont val="Calibri"/>
        <family val="2"/>
      </rPr>
      <t xml:space="preserve">front-pf-payments </t>
    </r>
    <r>
      <rPr>
        <sz val="11"/>
        <color rgb="FF000000"/>
        <rFont val="Calibri"/>
        <family val="2"/>
      </rPr>
      <t xml:space="preserve">de la rama </t>
    </r>
    <r>
      <rPr>
        <b/>
        <sz val="11"/>
        <color rgb="FF000000"/>
        <rFont val="Calibri"/>
        <family val="2"/>
      </rPr>
      <t>Release</t>
    </r>
  </si>
  <si>
    <t>AWS QA5</t>
  </si>
  <si>
    <r>
      <rPr>
        <sz val="11"/>
        <color rgb="FF000000"/>
        <rFont val="Calibri"/>
        <family val="2"/>
      </rPr>
      <t xml:space="preserve">Ejecutar scripts:  </t>
    </r>
    <r>
      <rPr>
        <b/>
        <sz val="11"/>
        <color rgb="FF000000"/>
        <rFont val="Calibri"/>
        <family val="2"/>
      </rPr>
      <t>rollback_catBeneficios</t>
    </r>
  </si>
  <si>
    <r>
      <rPr>
        <sz val="11"/>
        <color rgb="FF000000"/>
        <rFont val="Calibri"/>
        <family val="2"/>
      </rPr>
      <t xml:space="preserve">Ejecutar scripts:  </t>
    </r>
    <r>
      <rPr>
        <b/>
        <sz val="11"/>
        <color rgb="FF000000"/>
        <rFont val="Calibri"/>
        <family val="2"/>
      </rPr>
      <t>rollback_catMovimiento</t>
    </r>
  </si>
  <si>
    <r>
      <rPr>
        <sz val="11"/>
        <color rgb="FF000000"/>
        <rFont val="Calibri"/>
        <family val="2"/>
      </rPr>
      <t xml:space="preserve">Ejecutar scripts:  </t>
    </r>
    <r>
      <rPr>
        <b/>
        <sz val="11"/>
        <color rgb="FF000000"/>
        <rFont val="Calibri"/>
        <family val="2"/>
      </rPr>
      <t>rollback_script_carrito_y_solicitud</t>
    </r>
  </si>
  <si>
    <t>Ejecutar scripts: 
- vw_mpf_SAP_ZVF_ventas_financiadas_encabezado_phx_PROD
- sp_gm_SAP_POS_ZVF_Ventas_Financiadas_Encabezado_PROD
- sp_pfm_solicitud_macropay_PROD</t>
  </si>
  <si>
    <t>Wille Hans Ditte Morales Sanchez</t>
  </si>
  <si>
    <t>Jose Angel Morelos Osorio</t>
  </si>
  <si>
    <t>Alberto Roura Cruz</t>
  </si>
  <si>
    <t>Carlos Alberto Lopez Mata</t>
  </si>
  <si>
    <t>Antonio de Jesus Cabanas Buenfil</t>
  </si>
  <si>
    <t>Eduardo Emmanuel Ravell May</t>
  </si>
  <si>
    <t>Derian Perez Cortes</t>
  </si>
  <si>
    <t>Ana Lina Trejo Morales</t>
  </si>
  <si>
    <t>Christian Uziel Sanchez Alvarez</t>
  </si>
  <si>
    <t>Diego Vielma Aguilar</t>
  </si>
  <si>
    <t>Jorge Luis Balam Vargas</t>
  </si>
  <si>
    <t>Daniela Patricia Ojeda Garcia</t>
  </si>
  <si>
    <t>Andrei Belyi</t>
  </si>
  <si>
    <t>Jose Basilio Lopez Mendoza</t>
  </si>
  <si>
    <t>Eduardo Adrian Magaña Lanz</t>
  </si>
  <si>
    <t>Gamaliel Uriel Tzab Novelo</t>
  </si>
  <si>
    <t>Margarita Isabel Camarena Euan</t>
  </si>
  <si>
    <t>Erick Daniel Orihuela Santillan</t>
  </si>
  <si>
    <t>Jose Luis Reyes Lopez</t>
  </si>
  <si>
    <t>Rickey Oswaldo Ehuan Vargas</t>
  </si>
  <si>
    <t>Fidencio Daniel Santander Reyes</t>
  </si>
  <si>
    <t>Joset Angel Cervantes Santamaria</t>
  </si>
  <si>
    <t>Greysi Bianey Cab Chi</t>
  </si>
  <si>
    <t>Juan Jose Creus Ramos</t>
  </si>
  <si>
    <t>Hector Alvarez Flores</t>
  </si>
  <si>
    <t>Luis Angel Bravo Vega</t>
  </si>
  <si>
    <t>Javier Orlando Castillo Chan</t>
  </si>
  <si>
    <t>Omar Francisco Canul Mutul</t>
  </si>
  <si>
    <t>Julio Cesar Ortega Cicero</t>
  </si>
  <si>
    <t>Nicolas Adrian Angulo Cervera</t>
  </si>
  <si>
    <t>Santiago Garcia Morales</t>
  </si>
  <si>
    <r>
      <t xml:space="preserve">Crear el Pipeline del componente: </t>
    </r>
    <r>
      <rPr>
        <b/>
        <sz val="11"/>
        <color rgb="FF000000"/>
        <rFont val="Calibri"/>
        <family val="2"/>
      </rPr>
      <t>midd-macropay-club
Puerto</t>
    </r>
    <r>
      <rPr>
        <sz val="11"/>
        <color rgb="FF000000"/>
        <rFont val="Calibri"/>
        <family val="2"/>
      </rPr>
      <t xml:space="preserve">: </t>
    </r>
    <r>
      <rPr>
        <i/>
        <sz val="11"/>
        <color rgb="FF0070C0"/>
        <rFont val="Calibri"/>
        <family val="2"/>
      </rPr>
      <t xml:space="preserve">8080
</t>
    </r>
    <r>
      <rPr>
        <b/>
        <sz val="11"/>
        <color rgb="FF000000"/>
        <rFont val="Calibri"/>
        <family val="2"/>
      </rPr>
      <t>DNS</t>
    </r>
    <r>
      <rPr>
        <sz val="11"/>
        <color rgb="FF000000"/>
        <rFont val="Calibri"/>
        <family val="2"/>
      </rPr>
      <t xml:space="preserve">: </t>
    </r>
    <r>
      <rPr>
        <i/>
        <sz val="11"/>
        <color rgb="FF0070C0"/>
        <rFont val="Calibri"/>
        <family val="2"/>
      </rPr>
      <t xml:space="preserve">https://club-macropay.macropay.mx
</t>
    </r>
    <r>
      <rPr>
        <b/>
        <sz val="11"/>
        <color rgb="FF000000"/>
        <rFont val="Calibri"/>
        <family val="2"/>
      </rPr>
      <t>Ingress</t>
    </r>
    <r>
      <rPr>
        <sz val="11"/>
        <color rgb="FF000000"/>
        <rFont val="Calibri"/>
        <family val="2"/>
      </rPr>
      <t>:</t>
    </r>
    <r>
      <rPr>
        <sz val="11"/>
        <color rgb="FF0070C0"/>
        <rFont val="Calibri"/>
        <family val="2"/>
      </rPr>
      <t xml:space="preserve"> /
</t>
    </r>
    <r>
      <rPr>
        <b/>
        <sz val="11"/>
        <color rgb="FF000000"/>
        <rFont val="Calibri"/>
        <family val="2"/>
      </rPr>
      <t>Role</t>
    </r>
    <r>
      <rPr>
        <sz val="11"/>
        <color rgb="FF000000"/>
        <rFont val="Calibri"/>
        <family val="2"/>
      </rPr>
      <t xml:space="preserve">: </t>
    </r>
    <r>
      <rPr>
        <i/>
        <sz val="11"/>
        <color rgb="FF0070C0"/>
        <rFont val="Calibri"/>
        <family val="2"/>
      </rPr>
      <t>NA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</si>
</sst>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3" x14ac:knownFonts="1">
    <font>
      <sz val="11"/>
      <color theme="1"/>
      <name val="Aptos Narrow"/>
      <family val="2"/>
      <scheme val="minor"/>
    </font>
    <font>
      <b/>
      <sz val="11"/>
      <color theme="0"/>
      <name val="Aptos Narrow"/>
      <family val="2"/>
      <scheme val="minor"/>
    </font>
    <font>
      <sz val="11"/>
      <color theme="2" tint="-0.249977111117893"/>
      <name val="Aptos Narrow"/>
      <family val="2"/>
      <scheme val="minor"/>
    </font>
    <font>
      <sz val="11"/>
      <name val="Aptos Narrow"/>
      <family val="2"/>
      <scheme val="minor"/>
    </font>
    <font>
      <sz val="11"/>
      <color theme="1"/>
      <name val="Aptos Narrow"/>
      <family val="2"/>
      <scheme val="minor"/>
    </font>
    <font>
      <b/>
      <sz val="11"/>
      <color theme="0"/>
      <name val="Aptos Display"/>
      <family val="2"/>
      <scheme val="major"/>
    </font>
    <font>
      <sz val="11"/>
      <name val="Aptos Display"/>
      <family val="2"/>
      <scheme val="major"/>
    </font>
    <font>
      <sz val="11"/>
      <color theme="2" tint="-0.249977111117893"/>
      <name val="Aptos Display"/>
      <family val="2"/>
      <scheme val="major"/>
    </font>
    <font>
      <sz val="11"/>
      <color theme="1"/>
      <name val="Aptos Display"/>
      <family val="2"/>
      <scheme val="major"/>
    </font>
    <font>
      <b/>
      <sz val="12"/>
      <color theme="0"/>
      <name val="Aptos Display"/>
      <family val="2"/>
      <scheme val="major"/>
    </font>
    <font>
      <sz val="10"/>
      <color theme="1"/>
      <name val="Aptos Display"/>
      <family val="2"/>
      <scheme val="major"/>
    </font>
    <font>
      <b/>
      <sz val="10"/>
      <color theme="0"/>
      <name val="Aptos Display"/>
      <family val="2"/>
      <scheme val="major"/>
    </font>
    <font>
      <sz val="10"/>
      <name val="Aptos Display"/>
      <family val="2"/>
      <scheme val="major"/>
    </font>
    <font>
      <sz val="10"/>
      <color theme="2" tint="-0.249977111117893"/>
      <name val="Aptos Display"/>
      <family val="2"/>
      <scheme val="major"/>
    </font>
    <font>
      <sz val="72"/>
      <color theme="1"/>
      <name val="Aptos Display"/>
      <family val="2"/>
      <scheme val="major"/>
    </font>
    <font>
      <b/>
      <sz val="11"/>
      <name val="Aptos Display"/>
      <family val="2"/>
      <scheme val="major"/>
    </font>
    <font>
      <b/>
      <sz val="10"/>
      <name val="Aptos Display"/>
      <family val="2"/>
      <scheme val="major"/>
    </font>
    <font>
      <b/>
      <sz val="72"/>
      <color theme="1"/>
      <name val="Aptos Display"/>
      <family val="2"/>
      <scheme val="major"/>
    </font>
    <font>
      <b/>
      <sz val="10"/>
      <color theme="1"/>
      <name val="Aptos Display"/>
      <family val="2"/>
      <scheme val="major"/>
    </font>
    <font>
      <b/>
      <sz val="12"/>
      <color theme="1"/>
      <name val="Aptos Display"/>
      <family val="2"/>
      <scheme val="major"/>
    </font>
    <font>
      <b/>
      <sz val="14"/>
      <color theme="1"/>
      <name val="Aptos Display"/>
      <family val="2"/>
      <scheme val="major"/>
    </font>
    <font>
      <sz val="11"/>
      <color theme="1"/>
      <name val="Calibri"/>
      <family val="2"/>
    </font>
    <font>
      <u/>
      <sz val="11"/>
      <color theme="10"/>
      <name val="Aptos Narrow"/>
      <family val="2"/>
      <scheme val="minor"/>
    </font>
    <font>
      <sz val="8"/>
      <name val="Aptos Narrow"/>
      <family val="2"/>
      <scheme val="minor"/>
    </font>
    <font>
      <u/>
      <sz val="11"/>
      <color theme="1"/>
      <name val="Aptos Display"/>
      <family val="2"/>
      <scheme val="major"/>
    </font>
    <font>
      <b/>
      <sz val="11"/>
      <color theme="1"/>
      <name val="Calibri"/>
      <family val="2"/>
    </font>
    <font>
      <sz val="11"/>
      <color rgb="FF000000"/>
      <name val="Calibri"/>
      <family val="2"/>
    </font>
    <font>
      <sz val="11"/>
      <color rgb="FF000000"/>
      <name val="Aptos Narrow"/>
      <family val="2"/>
    </font>
    <font>
      <b/>
      <sz val="11"/>
      <color rgb="FF000000"/>
      <name val="Calibri"/>
      <family val="2"/>
    </font>
    <font>
      <b/>
      <sz val="11"/>
      <color rgb="FFFF0000"/>
      <name val="Calibri"/>
      <family val="2"/>
    </font>
    <font>
      <u/>
      <sz val="10"/>
      <color theme="1"/>
      <name val="Aptos Display"/>
      <family val="2"/>
      <scheme val="major"/>
    </font>
    <font>
      <sz val="11"/>
      <color rgb="FF000000"/>
      <name val="Calibri"/>
      <family val="2"/>
    </font>
    <font>
      <b/>
      <sz val="11"/>
      <color rgb="FF000000"/>
      <name val="Calibri"/>
      <family val="2"/>
    </font>
    <font>
      <sz val="11"/>
      <color theme="1"/>
      <name val="Calibri"/>
      <family val="2"/>
    </font>
    <font>
      <sz val="10"/>
      <color theme="1"/>
      <name val="Aptos Display"/>
      <scheme val="major"/>
    </font>
    <font>
      <sz val="11"/>
      <color theme="1"/>
      <name val="Aptos Display"/>
      <scheme val="major"/>
    </font>
    <font>
      <b/>
      <sz val="10"/>
      <color theme="0"/>
      <name val="Aptos Display"/>
      <scheme val="major"/>
    </font>
    <font>
      <sz val="11"/>
      <color rgb="FF000000"/>
      <name val="Aptos Display"/>
      <scheme val="major"/>
    </font>
    <font>
      <b/>
      <sz val="11"/>
      <color rgb="FF000000"/>
      <name val="Aptos Display"/>
      <scheme val="major"/>
    </font>
    <font>
      <sz val="11"/>
      <color rgb="FF000000"/>
      <name val="Aptos Display"/>
      <family val="2"/>
      <scheme val="major"/>
    </font>
    <font>
      <b/>
      <sz val="11"/>
      <color theme="1"/>
      <name val="Aptos Display"/>
      <family val="2"/>
      <scheme val="major"/>
    </font>
    <font>
      <b/>
      <sz val="11"/>
      <color rgb="FF215C98"/>
      <name val="Calibri"/>
      <family val="2"/>
    </font>
    <font>
      <i/>
      <sz val="11"/>
      <color rgb="FF0070C0"/>
      <name val="Calibri"/>
      <family val="2"/>
    </font>
    <font>
      <sz val="11"/>
      <color rgb="FF0070C0"/>
      <name val="Calibri"/>
      <family val="2"/>
    </font>
    <font>
      <b/>
      <i/>
      <sz val="11"/>
      <color rgb="FF0070C0"/>
      <name val="Calibri"/>
      <family val="2"/>
    </font>
    <font>
      <b/>
      <sz val="11"/>
      <color rgb="FF000000"/>
      <name val="Aptos Narrow"/>
      <family val="2"/>
    </font>
    <font>
      <b/>
      <sz val="11"/>
      <color theme="1"/>
      <name val="Aptos Narrow"/>
      <family val="2"/>
      <scheme val="minor"/>
    </font>
    <font>
      <b/>
      <sz val="11"/>
      <color theme="1"/>
      <name val="Aptos Display"/>
      <scheme val="major"/>
    </font>
    <font>
      <b/>
      <sz val="10"/>
      <name val="Aptos Display"/>
      <scheme val="major"/>
    </font>
    <font>
      <sz val="10"/>
      <color rgb="FF000000"/>
      <name val="Aptos Display"/>
    </font>
    <font>
      <b/>
      <sz val="10"/>
      <color rgb="FF000000"/>
      <name val="Aptos Display"/>
    </font>
    <font>
      <b/>
      <sz val="10"/>
      <color rgb="FFFFFFFF"/>
      <name val="Aptos Display"/>
    </font>
    <font>
      <b/>
      <i/>
      <sz val="11"/>
      <color rgb="FF000000"/>
      <name val="Calibri"/>
      <family val="2"/>
    </font>
  </fonts>
  <fills count="8">
    <fill>
      <patternFill patternType="none"/>
    </fill>
    <fill>
      <patternFill patternType="gray125"/>
    </fill>
    <fill>
      <patternFill patternType="solid">
        <fgColor theme="3" tint="9.9978637043366805E-2"/>
        <bgColor indexed="64"/>
      </patternFill>
    </fill>
    <fill>
      <patternFill patternType="solid">
        <fgColor theme="3" tint="0.249977111117893"/>
        <bgColor indexed="64"/>
      </patternFill>
    </fill>
    <fill>
      <patternFill patternType="solid">
        <fgColor rgb="FF002060"/>
        <bgColor indexed="64"/>
      </patternFill>
    </fill>
    <fill>
      <patternFill patternType="solid">
        <fgColor rgb="FFFFFFCC"/>
        <bgColor indexed="64"/>
      </patternFill>
    </fill>
    <fill>
      <patternFill patternType="solid">
        <fgColor rgb="FFFFFFFF"/>
        <bgColor rgb="FF000000"/>
      </patternFill>
    </fill>
    <fill>
      <patternFill patternType="solid">
        <fgColor rgb="FF215C98"/>
        <bgColor rgb="FF000000"/>
      </patternFill>
    </fill>
  </fills>
  <borders count="51">
    <border>
      <left/>
      <right/>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style="thin">
        <color rgb="FF000000"/>
      </left>
      <right style="thin">
        <color indexed="64"/>
      </right>
      <top style="thin">
        <color rgb="FF000000"/>
      </top>
      <bottom style="thin">
        <color indexed="64"/>
      </bottom>
      <diagonal/>
    </border>
    <border>
      <left style="thin">
        <color indexed="64"/>
      </left>
      <right style="thin">
        <color indexed="64"/>
      </right>
      <top style="thin">
        <color rgb="FF000000"/>
      </top>
      <bottom style="thin">
        <color indexed="64"/>
      </bottom>
      <diagonal/>
    </border>
    <border>
      <left style="thin">
        <color indexed="64"/>
      </left>
      <right style="thin">
        <color rgb="FF000000"/>
      </right>
      <top style="thin">
        <color rgb="FF000000"/>
      </top>
      <bottom style="thin">
        <color indexed="64"/>
      </bottom>
      <diagonal/>
    </border>
    <border>
      <left style="thin">
        <color indexed="64"/>
      </left>
      <right style="thin">
        <color rgb="FF000000"/>
      </right>
      <top style="thin">
        <color indexed="64"/>
      </top>
      <bottom style="thin">
        <color indexed="64"/>
      </bottom>
      <diagonal/>
    </border>
    <border>
      <left style="thin">
        <color rgb="FF000000"/>
      </left>
      <right style="thin">
        <color indexed="64"/>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style="thin">
        <color rgb="FF000000"/>
      </right>
      <top style="thin">
        <color indexed="64"/>
      </top>
      <bottom style="thin">
        <color rgb="FF000000"/>
      </bottom>
      <diagonal/>
    </border>
    <border>
      <left/>
      <right style="thin">
        <color indexed="64"/>
      </right>
      <top style="thin">
        <color rgb="FF000000"/>
      </top>
      <bottom style="thin">
        <color indexed="64"/>
      </bottom>
      <diagonal/>
    </border>
    <border>
      <left style="thin">
        <color rgb="FF000000"/>
      </left>
      <right style="thin">
        <color indexed="64"/>
      </right>
      <top style="thin">
        <color rgb="FF000000"/>
      </top>
      <bottom/>
      <diagonal/>
    </border>
    <border>
      <left style="thin">
        <color indexed="64"/>
      </left>
      <right style="thin">
        <color rgb="FF000000"/>
      </right>
      <top style="thin">
        <color rgb="FF000000"/>
      </top>
      <bottom/>
      <diagonal/>
    </border>
    <border>
      <left/>
      <right style="thin">
        <color rgb="FF000000"/>
      </right>
      <top/>
      <bottom/>
      <diagonal/>
    </border>
    <border>
      <left/>
      <right/>
      <top/>
      <bottom style="thin">
        <color rgb="FF000000"/>
      </bottom>
      <diagonal/>
    </border>
    <border>
      <left style="thin">
        <color indexed="64"/>
      </left>
      <right/>
      <top style="thin">
        <color indexed="64"/>
      </top>
      <bottom style="thin">
        <color rgb="FF000000"/>
      </bottom>
      <diagonal/>
    </border>
    <border>
      <left/>
      <right style="thin">
        <color indexed="64"/>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4">
    <xf numFmtId="0" fontId="0" fillId="0" borderId="0"/>
    <xf numFmtId="9" fontId="4" fillId="0" borderId="0" applyFon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cellStyleXfs>
  <cellXfs count="442">
    <xf numFmtId="0" fontId="0" fillId="0" borderId="0" xfId="0"/>
    <xf numFmtId="0" fontId="0" fillId="0" borderId="0" xfId="0" applyProtection="1">
      <protection locked="0"/>
    </xf>
    <xf numFmtId="0" fontId="0" fillId="0" borderId="0" xfId="0" applyAlignment="1" applyProtection="1">
      <alignment horizontal="center"/>
      <protection locked="0"/>
    </xf>
    <xf numFmtId="0" fontId="0" fillId="0" borderId="0" xfId="0" applyAlignment="1" applyProtection="1">
      <alignment horizontal="center" vertical="center"/>
      <protection locked="0"/>
    </xf>
    <xf numFmtId="0" fontId="1" fillId="2" borderId="9" xfId="0" applyFont="1" applyFill="1" applyBorder="1" applyAlignment="1" applyProtection="1">
      <alignment horizontal="center"/>
      <protection locked="0"/>
    </xf>
    <xf numFmtId="0" fontId="1" fillId="2" borderId="2" xfId="0" applyFont="1" applyFill="1" applyBorder="1" applyAlignment="1">
      <alignment vertical="center"/>
    </xf>
    <xf numFmtId="0" fontId="2" fillId="0" borderId="0" xfId="0" applyFont="1" applyAlignment="1">
      <alignment vertical="center"/>
    </xf>
    <xf numFmtId="0" fontId="1" fillId="2" borderId="2" xfId="0" applyFont="1" applyFill="1" applyBorder="1" applyAlignment="1">
      <alignment horizontal="left" vertical="center"/>
    </xf>
    <xf numFmtId="0" fontId="0" fillId="0" borderId="0" xfId="0" applyAlignment="1">
      <alignment vertical="center"/>
    </xf>
    <xf numFmtId="0" fontId="1" fillId="0" borderId="0" xfId="0" applyFont="1" applyAlignment="1">
      <alignment horizontal="left" vertical="center"/>
    </xf>
    <xf numFmtId="0" fontId="0" fillId="0" borderId="0" xfId="0" applyAlignment="1">
      <alignment horizontal="center" vertical="center"/>
    </xf>
    <xf numFmtId="0" fontId="1" fillId="3" borderId="2" xfId="0" applyFont="1" applyFill="1" applyBorder="1" applyAlignment="1" applyProtection="1">
      <alignment vertical="center" wrapText="1"/>
      <protection locked="0"/>
    </xf>
    <xf numFmtId="0" fontId="0" fillId="0" borderId="2" xfId="0" applyBorder="1" applyAlignment="1" applyProtection="1">
      <alignment horizontal="center" vertical="center" wrapText="1"/>
      <protection locked="0"/>
    </xf>
    <xf numFmtId="0" fontId="0" fillId="0" borderId="2" xfId="0" applyBorder="1" applyAlignment="1" applyProtection="1">
      <alignment vertical="center" wrapText="1"/>
      <protection locked="0"/>
    </xf>
    <xf numFmtId="0" fontId="0" fillId="0" borderId="0" xfId="0" applyAlignment="1" applyProtection="1">
      <alignment vertical="center" wrapText="1"/>
      <protection locked="0"/>
    </xf>
    <xf numFmtId="0" fontId="5" fillId="2" borderId="2" xfId="0" applyFont="1" applyFill="1" applyBorder="1" applyAlignment="1" applyProtection="1">
      <alignment vertical="center"/>
      <protection locked="0"/>
    </xf>
    <xf numFmtId="0" fontId="5" fillId="2" borderId="2" xfId="0" applyFont="1" applyFill="1" applyBorder="1" applyAlignment="1" applyProtection="1">
      <alignment horizontal="left" vertical="center"/>
      <protection locked="0"/>
    </xf>
    <xf numFmtId="0" fontId="8" fillId="0" borderId="0" xfId="0" applyFont="1"/>
    <xf numFmtId="0" fontId="8" fillId="0" borderId="0" xfId="0" applyFont="1" applyProtection="1">
      <protection locked="0"/>
    </xf>
    <xf numFmtId="0" fontId="8" fillId="0" borderId="0" xfId="0" applyFont="1" applyAlignment="1" applyProtection="1">
      <alignment vertical="center"/>
      <protection locked="0"/>
    </xf>
    <xf numFmtId="0" fontId="8" fillId="0" borderId="0" xfId="0" applyFont="1" applyAlignment="1" applyProtection="1">
      <alignment horizontal="center" vertical="center"/>
      <protection locked="0"/>
    </xf>
    <xf numFmtId="0" fontId="10" fillId="0" borderId="14" xfId="0" applyFont="1" applyBorder="1" applyAlignment="1" applyProtection="1">
      <alignment horizontal="left" vertical="center"/>
      <protection locked="0"/>
    </xf>
    <xf numFmtId="0" fontId="10" fillId="0" borderId="14" xfId="0" applyFont="1" applyBorder="1"/>
    <xf numFmtId="0" fontId="10" fillId="0" borderId="0" xfId="0" applyFont="1" applyProtection="1">
      <protection locked="0"/>
    </xf>
    <xf numFmtId="0" fontId="10" fillId="0" borderId="1" xfId="0" applyFont="1" applyBorder="1" applyAlignment="1" applyProtection="1">
      <alignment horizontal="left" vertical="center"/>
      <protection locked="0"/>
    </xf>
    <xf numFmtId="0" fontId="10" fillId="0" borderId="0" xfId="0" applyFont="1" applyAlignment="1" applyProtection="1">
      <alignment horizontal="center" vertical="center"/>
      <protection locked="0"/>
    </xf>
    <xf numFmtId="0" fontId="10" fillId="0" borderId="1" xfId="0" applyFont="1" applyBorder="1"/>
    <xf numFmtId="0" fontId="10" fillId="0" borderId="18" xfId="0" applyFont="1" applyBorder="1" applyAlignment="1" applyProtection="1">
      <alignment horizontal="left" vertical="center"/>
      <protection locked="0"/>
    </xf>
    <xf numFmtId="0" fontId="10" fillId="0" borderId="18" xfId="0" applyFont="1" applyBorder="1"/>
    <xf numFmtId="9" fontId="8" fillId="0" borderId="0" xfId="1" applyFont="1" applyProtection="1">
      <protection locked="0"/>
    </xf>
    <xf numFmtId="0" fontId="11" fillId="2" borderId="2" xfId="0" applyFont="1" applyFill="1" applyBorder="1" applyAlignment="1" applyProtection="1">
      <alignment vertical="center"/>
      <protection locked="0"/>
    </xf>
    <xf numFmtId="0" fontId="13" fillId="0" borderId="0" xfId="0" applyFont="1" applyAlignment="1" applyProtection="1">
      <alignment vertical="center"/>
      <protection locked="0"/>
    </xf>
    <xf numFmtId="0" fontId="11" fillId="2" borderId="2" xfId="0" applyFont="1" applyFill="1" applyBorder="1" applyAlignment="1" applyProtection="1">
      <alignment horizontal="left" vertical="center"/>
      <protection locked="0"/>
    </xf>
    <xf numFmtId="0" fontId="10" fillId="0" borderId="0" xfId="0" applyFont="1" applyAlignment="1" applyProtection="1">
      <alignment vertical="center"/>
      <protection locked="0"/>
    </xf>
    <xf numFmtId="0" fontId="11" fillId="2" borderId="9" xfId="0" applyFont="1" applyFill="1" applyBorder="1" applyAlignment="1" applyProtection="1">
      <alignment horizontal="center" vertical="center"/>
      <protection locked="0"/>
    </xf>
    <xf numFmtId="0" fontId="11" fillId="3" borderId="2" xfId="0" applyFont="1" applyFill="1" applyBorder="1" applyAlignment="1" applyProtection="1">
      <alignment vertical="center"/>
      <protection locked="0"/>
    </xf>
    <xf numFmtId="0" fontId="11" fillId="0" borderId="0" xfId="0" applyFont="1" applyProtection="1">
      <protection locked="0"/>
    </xf>
    <xf numFmtId="1" fontId="10" fillId="0" borderId="17" xfId="0" applyNumberFormat="1" applyFont="1" applyBorder="1"/>
    <xf numFmtId="1" fontId="10" fillId="0" borderId="20" xfId="0" applyNumberFormat="1" applyFont="1" applyBorder="1"/>
    <xf numFmtId="0" fontId="5" fillId="2" borderId="2" xfId="0" applyFont="1" applyFill="1" applyBorder="1" applyAlignment="1">
      <alignment vertical="center"/>
    </xf>
    <xf numFmtId="0" fontId="7" fillId="0" borderId="0" xfId="0" applyFont="1" applyAlignment="1">
      <alignment vertical="center"/>
    </xf>
    <xf numFmtId="0" fontId="5" fillId="2" borderId="2" xfId="0" applyFont="1" applyFill="1" applyBorder="1" applyAlignment="1">
      <alignment horizontal="left" vertical="center"/>
    </xf>
    <xf numFmtId="0" fontId="8" fillId="0" borderId="8" xfId="0" applyFont="1" applyBorder="1" applyAlignment="1" applyProtection="1">
      <alignment horizontal="center" vertical="center"/>
      <protection locked="0"/>
    </xf>
    <xf numFmtId="0" fontId="8" fillId="0" borderId="0" xfId="0" applyFont="1" applyAlignment="1">
      <alignment vertical="center"/>
    </xf>
    <xf numFmtId="0" fontId="5" fillId="0" borderId="0" xfId="0" applyFont="1" applyAlignment="1">
      <alignment horizontal="left" vertical="center"/>
    </xf>
    <xf numFmtId="0" fontId="8" fillId="0" borderId="0" xfId="0" applyFont="1" applyAlignment="1">
      <alignment horizontal="center" vertical="center"/>
    </xf>
    <xf numFmtId="9" fontId="14" fillId="0" borderId="0" xfId="1" applyFont="1" applyBorder="1" applyAlignment="1" applyProtection="1">
      <alignment horizontal="center" vertical="center"/>
      <protection locked="0"/>
    </xf>
    <xf numFmtId="0" fontId="5" fillId="2" borderId="9" xfId="0" applyFont="1" applyFill="1" applyBorder="1" applyAlignment="1" applyProtection="1">
      <alignment horizontal="center" vertical="center"/>
      <protection locked="0"/>
    </xf>
    <xf numFmtId="0" fontId="5" fillId="2" borderId="7" xfId="0" applyFont="1" applyFill="1" applyBorder="1" applyAlignment="1" applyProtection="1">
      <alignment horizontal="center" vertical="center"/>
      <protection locked="0"/>
    </xf>
    <xf numFmtId="0" fontId="5" fillId="2" borderId="9" xfId="0" applyFont="1" applyFill="1" applyBorder="1" applyAlignment="1" applyProtection="1">
      <alignment horizontal="center" vertical="center" wrapText="1"/>
      <protection locked="0"/>
    </xf>
    <xf numFmtId="0" fontId="8" fillId="0" borderId="2" xfId="0" applyFont="1" applyBorder="1" applyAlignment="1" applyProtection="1">
      <alignment horizontal="center" vertical="center" wrapText="1"/>
      <protection locked="0"/>
    </xf>
    <xf numFmtId="0" fontId="5" fillId="3" borderId="2" xfId="0" applyFont="1" applyFill="1" applyBorder="1" applyAlignment="1" applyProtection="1">
      <alignment vertical="center" wrapText="1"/>
      <protection locked="0"/>
    </xf>
    <xf numFmtId="0" fontId="8" fillId="0" borderId="0" xfId="0" applyFont="1" applyAlignment="1" applyProtection="1">
      <alignment horizontal="center"/>
      <protection locked="0"/>
    </xf>
    <xf numFmtId="0" fontId="8" fillId="0" borderId="0" xfId="0" applyFont="1" applyAlignment="1" applyProtection="1">
      <alignment vertical="center" wrapText="1"/>
      <protection locked="0"/>
    </xf>
    <xf numFmtId="0" fontId="11" fillId="2" borderId="2" xfId="0" applyFont="1" applyFill="1" applyBorder="1" applyAlignment="1">
      <alignment vertical="center"/>
    </xf>
    <xf numFmtId="0" fontId="13" fillId="0" borderId="0" xfId="0" applyFont="1" applyAlignment="1">
      <alignment vertical="center"/>
    </xf>
    <xf numFmtId="0" fontId="11" fillId="2" borderId="2" xfId="0" applyFont="1" applyFill="1" applyBorder="1" applyAlignment="1">
      <alignment horizontal="left" vertical="center"/>
    </xf>
    <xf numFmtId="0" fontId="10" fillId="0" borderId="2" xfId="0" applyFont="1" applyBorder="1" applyAlignment="1">
      <alignment horizontal="center" vertical="center"/>
    </xf>
    <xf numFmtId="0" fontId="10" fillId="0" borderId="8" xfId="0" applyFont="1" applyBorder="1" applyAlignment="1" applyProtection="1">
      <alignment horizontal="center" vertical="center"/>
      <protection locked="0"/>
    </xf>
    <xf numFmtId="0" fontId="10" fillId="0" borderId="0" xfId="0" applyFont="1" applyAlignment="1">
      <alignment vertical="center"/>
    </xf>
    <xf numFmtId="0" fontId="11" fillId="3" borderId="2" xfId="0" applyFont="1" applyFill="1" applyBorder="1" applyAlignment="1">
      <alignment vertical="center"/>
    </xf>
    <xf numFmtId="0" fontId="11" fillId="0" borderId="0" xfId="0" applyFont="1" applyAlignment="1">
      <alignment horizontal="left" vertical="center"/>
    </xf>
    <xf numFmtId="0" fontId="10" fillId="0" borderId="0" xfId="0" applyFont="1" applyAlignment="1">
      <alignment horizontal="center" vertical="center"/>
    </xf>
    <xf numFmtId="9" fontId="10" fillId="0" borderId="0" xfId="1" applyFont="1" applyBorder="1" applyAlignment="1" applyProtection="1">
      <alignment horizontal="center" vertical="center"/>
      <protection locked="0"/>
    </xf>
    <xf numFmtId="0" fontId="10" fillId="0" borderId="0" xfId="0" applyFont="1"/>
    <xf numFmtId="0" fontId="11" fillId="2" borderId="2" xfId="0" applyFont="1" applyFill="1" applyBorder="1" applyAlignment="1">
      <alignment horizontal="center"/>
    </xf>
    <xf numFmtId="0" fontId="11" fillId="2" borderId="7" xfId="0" applyFont="1" applyFill="1" applyBorder="1" applyAlignment="1" applyProtection="1">
      <alignment horizontal="center" vertical="center"/>
      <protection locked="0"/>
    </xf>
    <xf numFmtId="0" fontId="11" fillId="2" borderId="9" xfId="0" applyFont="1" applyFill="1" applyBorder="1" applyAlignment="1" applyProtection="1">
      <alignment horizontal="center" vertical="center" wrapText="1"/>
      <protection locked="0"/>
    </xf>
    <xf numFmtId="0" fontId="10" fillId="0" borderId="2" xfId="0" applyFont="1" applyBorder="1" applyAlignment="1" applyProtection="1">
      <alignment horizontal="center" vertical="center" wrapText="1"/>
      <protection locked="0"/>
    </xf>
    <xf numFmtId="0" fontId="10" fillId="0" borderId="2" xfId="0" applyFont="1" applyBorder="1" applyAlignment="1" applyProtection="1">
      <alignment horizontal="left" vertical="center" wrapText="1"/>
      <protection locked="0"/>
    </xf>
    <xf numFmtId="0" fontId="10" fillId="0" borderId="0" xfId="0" applyFont="1" applyAlignment="1" applyProtection="1">
      <alignment vertical="center" wrapText="1"/>
      <protection locked="0"/>
    </xf>
    <xf numFmtId="0" fontId="1" fillId="3" borderId="2" xfId="0" applyFont="1" applyFill="1" applyBorder="1" applyAlignment="1">
      <alignment vertical="center" wrapText="1"/>
    </xf>
    <xf numFmtId="0" fontId="11" fillId="3" borderId="2" xfId="0" applyFont="1" applyFill="1" applyBorder="1" applyAlignment="1">
      <alignment vertical="center" wrapText="1"/>
    </xf>
    <xf numFmtId="0" fontId="5" fillId="2" borderId="2" xfId="0" applyFont="1" applyFill="1" applyBorder="1" applyAlignment="1" applyProtection="1">
      <alignment horizontal="left" vertical="center" wrapText="1"/>
      <protection locked="0"/>
    </xf>
    <xf numFmtId="0" fontId="5" fillId="3" borderId="2" xfId="0" applyFont="1" applyFill="1" applyBorder="1" applyAlignment="1">
      <alignment vertical="center" wrapText="1"/>
    </xf>
    <xf numFmtId="0" fontId="5" fillId="0" borderId="0" xfId="0" applyFont="1" applyAlignment="1" applyProtection="1">
      <alignment vertical="center"/>
      <protection locked="0"/>
    </xf>
    <xf numFmtId="0" fontId="8" fillId="0" borderId="2" xfId="0" applyFont="1" applyBorder="1" applyAlignment="1" applyProtection="1">
      <alignment vertical="top" wrapText="1"/>
      <protection locked="0"/>
    </xf>
    <xf numFmtId="0" fontId="8" fillId="0" borderId="2" xfId="0" applyFont="1" applyBorder="1" applyAlignment="1" applyProtection="1">
      <alignment horizontal="center" vertical="top" wrapText="1"/>
      <protection locked="0"/>
    </xf>
    <xf numFmtId="0" fontId="5" fillId="0" borderId="6" xfId="0" applyFont="1" applyBorder="1" applyAlignment="1" applyProtection="1">
      <alignment vertical="center"/>
      <protection locked="0"/>
    </xf>
    <xf numFmtId="0" fontId="8" fillId="0" borderId="6" xfId="0" applyFont="1" applyBorder="1" applyAlignment="1" applyProtection="1">
      <alignment vertical="center"/>
      <protection locked="0"/>
    </xf>
    <xf numFmtId="0" fontId="8" fillId="0" borderId="7" xfId="0" applyFont="1" applyBorder="1" applyProtection="1">
      <protection locked="0"/>
    </xf>
    <xf numFmtId="0" fontId="8" fillId="0" borderId="6" xfId="0" applyFont="1" applyBorder="1" applyProtection="1">
      <protection locked="0"/>
    </xf>
    <xf numFmtId="0" fontId="8" fillId="0" borderId="8" xfId="0" applyFont="1" applyBorder="1" applyAlignment="1" applyProtection="1">
      <alignment vertical="center" wrapText="1"/>
      <protection locked="0"/>
    </xf>
    <xf numFmtId="0" fontId="8" fillId="0" borderId="8" xfId="0" applyFont="1" applyBorder="1" applyAlignment="1" applyProtection="1">
      <alignment vertical="center"/>
      <protection locked="0"/>
    </xf>
    <xf numFmtId="0" fontId="8" fillId="0" borderId="5" xfId="0" applyFont="1" applyBorder="1" applyAlignment="1" applyProtection="1">
      <alignment horizontal="left" vertical="top" wrapText="1"/>
      <protection locked="0"/>
    </xf>
    <xf numFmtId="0" fontId="8" fillId="0" borderId="2" xfId="0" applyFont="1" applyBorder="1" applyAlignment="1" applyProtection="1">
      <alignment horizontal="left" vertical="top" wrapText="1"/>
      <protection locked="0"/>
    </xf>
    <xf numFmtId="0" fontId="8" fillId="0" borderId="8" xfId="0" applyFont="1" applyBorder="1" applyProtection="1">
      <protection locked="0"/>
    </xf>
    <xf numFmtId="0" fontId="11" fillId="2" borderId="2" xfId="0" applyFont="1" applyFill="1" applyBorder="1"/>
    <xf numFmtId="0" fontId="0" fillId="0" borderId="0" xfId="0" applyAlignment="1">
      <alignment wrapText="1"/>
    </xf>
    <xf numFmtId="0" fontId="11" fillId="0" borderId="0" xfId="0" applyFont="1" applyAlignment="1" applyProtection="1">
      <alignment horizontal="left" vertical="center"/>
      <protection locked="0"/>
    </xf>
    <xf numFmtId="0" fontId="11" fillId="2" borderId="21" xfId="0" applyFont="1" applyFill="1" applyBorder="1" applyAlignment="1">
      <alignment vertical="center"/>
    </xf>
    <xf numFmtId="0" fontId="18" fillId="0" borderId="0" xfId="0" applyFont="1" applyAlignment="1">
      <alignment vertical="center"/>
    </xf>
    <xf numFmtId="0" fontId="9" fillId="2" borderId="21" xfId="0" applyFont="1" applyFill="1" applyBorder="1" applyAlignment="1">
      <alignment vertical="center"/>
    </xf>
    <xf numFmtId="0" fontId="5" fillId="2" borderId="32" xfId="0" applyFont="1" applyFill="1" applyBorder="1" applyAlignment="1">
      <alignment vertical="center"/>
    </xf>
    <xf numFmtId="0" fontId="24" fillId="0" borderId="0" xfId="0" applyFont="1"/>
    <xf numFmtId="0" fontId="11" fillId="3" borderId="2" xfId="0" applyFont="1" applyFill="1" applyBorder="1" applyAlignment="1" applyProtection="1">
      <alignment horizontal="center" vertical="center" wrapText="1"/>
      <protection locked="0"/>
    </xf>
    <xf numFmtId="0" fontId="5" fillId="3" borderId="2" xfId="0" applyFont="1" applyFill="1" applyBorder="1" applyAlignment="1" applyProtection="1">
      <alignment horizontal="center" vertical="center" wrapText="1"/>
      <protection locked="0"/>
    </xf>
    <xf numFmtId="49" fontId="10" fillId="0" borderId="2" xfId="0" applyNumberFormat="1" applyFont="1" applyBorder="1" applyAlignment="1" applyProtection="1">
      <alignment horizontal="center" vertical="center" wrapText="1"/>
      <protection locked="0"/>
    </xf>
    <xf numFmtId="49" fontId="34" fillId="0" borderId="2" xfId="0" applyNumberFormat="1" applyFont="1" applyBorder="1" applyAlignment="1" applyProtection="1">
      <alignment horizontal="center" vertical="center" wrapText="1"/>
      <protection locked="0"/>
    </xf>
    <xf numFmtId="0" fontId="36" fillId="3" borderId="2" xfId="0" applyFont="1" applyFill="1" applyBorder="1" applyAlignment="1" applyProtection="1">
      <alignment horizontal="center" vertical="center" wrapText="1"/>
      <protection locked="0"/>
    </xf>
    <xf numFmtId="0" fontId="34" fillId="0" borderId="2" xfId="0" applyFont="1" applyBorder="1" applyAlignment="1" applyProtection="1">
      <alignment horizontal="left" vertical="center" wrapText="1"/>
      <protection locked="0"/>
    </xf>
    <xf numFmtId="0" fontId="34" fillId="0" borderId="0" xfId="0" applyFont="1" applyAlignment="1" applyProtection="1">
      <alignment vertical="center" wrapText="1"/>
      <protection locked="0"/>
    </xf>
    <xf numFmtId="0" fontId="34" fillId="0" borderId="2" xfId="0" applyFont="1" applyBorder="1" applyAlignment="1" applyProtection="1">
      <alignment horizontal="center" vertical="center" wrapText="1"/>
      <protection locked="0"/>
    </xf>
    <xf numFmtId="0" fontId="11" fillId="2" borderId="3" xfId="0" applyFont="1" applyFill="1" applyBorder="1" applyAlignment="1" applyProtection="1">
      <alignment horizontal="left" vertical="center"/>
      <protection locked="0"/>
    </xf>
    <xf numFmtId="0" fontId="10" fillId="0" borderId="3" xfId="0" applyFont="1" applyBorder="1" applyAlignment="1" applyProtection="1">
      <alignment horizontal="left" vertical="center" wrapText="1"/>
      <protection locked="0"/>
    </xf>
    <xf numFmtId="0" fontId="10" fillId="0" borderId="5" xfId="0" applyFont="1" applyBorder="1" applyAlignment="1" applyProtection="1">
      <alignment horizontal="left" vertical="center" wrapText="1"/>
      <protection locked="0"/>
    </xf>
    <xf numFmtId="0" fontId="16" fillId="0" borderId="2" xfId="0" applyFont="1" applyBorder="1" applyAlignment="1" applyProtection="1">
      <alignment horizontal="center" vertical="center"/>
      <protection locked="0"/>
    </xf>
    <xf numFmtId="0" fontId="34" fillId="0" borderId="40" xfId="0" applyFont="1" applyBorder="1" applyAlignment="1" applyProtection="1">
      <alignment horizontal="center" vertical="center" wrapText="1"/>
      <protection locked="0"/>
    </xf>
    <xf numFmtId="0" fontId="0" fillId="0" borderId="46" xfId="0" applyBorder="1"/>
    <xf numFmtId="0" fontId="10" fillId="0" borderId="46" xfId="0" applyFont="1" applyBorder="1" applyProtection="1">
      <protection locked="0"/>
    </xf>
    <xf numFmtId="0" fontId="10" fillId="0" borderId="49" xfId="0" applyFont="1" applyBorder="1" applyAlignment="1" applyProtection="1">
      <alignment horizontal="center" vertical="center" wrapText="1"/>
      <protection locked="0"/>
    </xf>
    <xf numFmtId="0" fontId="10" fillId="0" borderId="9" xfId="0" applyFont="1" applyBorder="1" applyAlignment="1" applyProtection="1">
      <alignment horizontal="center" vertical="center" wrapText="1"/>
      <protection locked="0"/>
    </xf>
    <xf numFmtId="49" fontId="10" fillId="0" borderId="9" xfId="0" applyNumberFormat="1" applyFont="1" applyBorder="1" applyAlignment="1" applyProtection="1">
      <alignment horizontal="center" vertical="center" wrapText="1"/>
      <protection locked="0"/>
    </xf>
    <xf numFmtId="0" fontId="11" fillId="3" borderId="9" xfId="0" applyFont="1" applyFill="1" applyBorder="1" applyAlignment="1" applyProtection="1">
      <alignment horizontal="center" vertical="center" wrapText="1"/>
      <protection locked="0"/>
    </xf>
    <xf numFmtId="0" fontId="10" fillId="0" borderId="9" xfId="0" applyFont="1" applyBorder="1" applyAlignment="1" applyProtection="1">
      <alignment horizontal="left" vertical="center" wrapText="1"/>
      <protection locked="0"/>
    </xf>
    <xf numFmtId="0" fontId="34" fillId="0" borderId="49" xfId="0" applyFont="1" applyBorder="1" applyAlignment="1" applyProtection="1">
      <alignment horizontal="left" vertical="center" wrapText="1"/>
      <protection locked="0"/>
    </xf>
    <xf numFmtId="0" fontId="51" fillId="7" borderId="3" xfId="0" applyFont="1" applyFill="1" applyBorder="1" applyAlignment="1" applyProtection="1">
      <alignment horizontal="center" vertical="center" wrapText="1"/>
      <protection locked="0"/>
    </xf>
    <xf numFmtId="0" fontId="10" fillId="0" borderId="50" xfId="0" applyFont="1" applyBorder="1" applyProtection="1">
      <protection locked="0"/>
    </xf>
    <xf numFmtId="0" fontId="34" fillId="0" borderId="0" xfId="0" applyFont="1" applyProtection="1">
      <protection locked="0"/>
    </xf>
    <xf numFmtId="0" fontId="33" fillId="0" borderId="3" xfId="0" applyFont="1" applyBorder="1" applyAlignment="1" applyProtection="1">
      <alignment horizontal="center" vertical="center" wrapText="1"/>
      <protection locked="0"/>
    </xf>
    <xf numFmtId="0" fontId="33" fillId="0" borderId="5" xfId="0" applyFont="1" applyBorder="1" applyAlignment="1" applyProtection="1">
      <alignment horizontal="center" vertical="center" wrapText="1"/>
      <protection locked="0"/>
    </xf>
    <xf numFmtId="0" fontId="8" fillId="0" borderId="2" xfId="0" applyFont="1" applyBorder="1" applyAlignment="1" applyProtection="1">
      <alignment horizontal="center" vertical="top" wrapText="1"/>
      <protection locked="0"/>
    </xf>
    <xf numFmtId="0" fontId="15" fillId="0" borderId="2" xfId="0" applyFont="1" applyBorder="1" applyAlignment="1" applyProtection="1">
      <alignment horizontal="center" vertical="center" wrapText="1"/>
      <protection locked="0"/>
    </xf>
    <xf numFmtId="0" fontId="31" fillId="0" borderId="3" xfId="0" applyFont="1" applyBorder="1" applyAlignment="1" applyProtection="1">
      <alignment horizontal="left" vertical="center" wrapText="1"/>
      <protection locked="0"/>
    </xf>
    <xf numFmtId="0" fontId="33" fillId="0" borderId="4" xfId="0" applyFont="1" applyBorder="1" applyAlignment="1" applyProtection="1">
      <alignment horizontal="left" vertical="center" wrapText="1"/>
      <protection locked="0"/>
    </xf>
    <xf numFmtId="0" fontId="33" fillId="0" borderId="5" xfId="0" applyFont="1" applyBorder="1" applyAlignment="1" applyProtection="1">
      <alignment horizontal="left" vertical="center" wrapText="1"/>
      <protection locked="0"/>
    </xf>
    <xf numFmtId="0" fontId="21" fillId="0" borderId="3" xfId="0" applyFont="1" applyBorder="1" applyAlignment="1" applyProtection="1">
      <alignment horizontal="center" vertical="center"/>
      <protection locked="0"/>
    </xf>
    <xf numFmtId="0" fontId="21" fillId="0" borderId="5" xfId="0" applyFont="1" applyBorder="1" applyAlignment="1" applyProtection="1">
      <alignment horizontal="center" vertical="center"/>
      <protection locked="0"/>
    </xf>
    <xf numFmtId="0" fontId="10" fillId="0" borderId="2" xfId="0" applyFont="1" applyBorder="1" applyAlignment="1" applyProtection="1">
      <alignment horizontal="left" vertical="center" wrapText="1"/>
      <protection locked="0"/>
    </xf>
    <xf numFmtId="0" fontId="21" fillId="0" borderId="4" xfId="0" applyFont="1" applyBorder="1" applyAlignment="1" applyProtection="1">
      <alignment horizontal="left" vertical="center" wrapText="1"/>
      <protection locked="0"/>
    </xf>
    <xf numFmtId="0" fontId="21" fillId="0" borderId="5" xfId="0" applyFont="1" applyBorder="1" applyAlignment="1" applyProtection="1">
      <alignment horizontal="left" vertical="center" wrapText="1"/>
      <protection locked="0"/>
    </xf>
    <xf numFmtId="0" fontId="21" fillId="0" borderId="2" xfId="0" applyFont="1" applyBorder="1" applyAlignment="1" applyProtection="1">
      <alignment horizontal="center" vertical="center" wrapText="1"/>
      <protection locked="0"/>
    </xf>
    <xf numFmtId="0" fontId="8" fillId="0" borderId="3" xfId="0" applyFont="1" applyBorder="1" applyAlignment="1" applyProtection="1">
      <alignment horizontal="left" vertical="top" wrapText="1"/>
      <protection locked="0"/>
    </xf>
    <xf numFmtId="0" fontId="8" fillId="0" borderId="4" xfId="0" applyFont="1" applyBorder="1" applyAlignment="1" applyProtection="1">
      <alignment horizontal="left" vertical="top" wrapText="1"/>
      <protection locked="0"/>
    </xf>
    <xf numFmtId="0" fontId="8" fillId="0" borderId="5" xfId="0" applyFont="1" applyBorder="1" applyAlignment="1" applyProtection="1">
      <alignment horizontal="left" vertical="top" wrapText="1"/>
      <protection locked="0"/>
    </xf>
    <xf numFmtId="0" fontId="5" fillId="2" borderId="10" xfId="0" applyFont="1" applyFill="1" applyBorder="1" applyAlignment="1" applyProtection="1">
      <alignment horizontal="center" vertical="center" wrapText="1"/>
      <protection locked="0"/>
    </xf>
    <xf numFmtId="0" fontId="5" fillId="2" borderId="4" xfId="0" applyFont="1" applyFill="1" applyBorder="1" applyAlignment="1" applyProtection="1">
      <alignment horizontal="center" vertical="center" wrapText="1"/>
      <protection locked="0"/>
    </xf>
    <xf numFmtId="0" fontId="5" fillId="2" borderId="5" xfId="0" applyFont="1" applyFill="1" applyBorder="1" applyAlignment="1" applyProtection="1">
      <alignment horizontal="center" vertical="center" wrapText="1"/>
      <protection locked="0"/>
    </xf>
    <xf numFmtId="0" fontId="8" fillId="0" borderId="2" xfId="0" applyFont="1" applyBorder="1" applyAlignment="1" applyProtection="1">
      <alignment horizontal="left" vertical="top" wrapText="1"/>
      <protection locked="0"/>
    </xf>
    <xf numFmtId="0" fontId="5" fillId="2" borderId="27" xfId="0" applyFont="1" applyFill="1" applyBorder="1" applyAlignment="1" applyProtection="1">
      <alignment horizontal="center"/>
      <protection locked="0"/>
    </xf>
    <xf numFmtId="0" fontId="5" fillId="2" borderId="28" xfId="0" applyFont="1" applyFill="1" applyBorder="1" applyAlignment="1" applyProtection="1">
      <alignment horizontal="center"/>
      <protection locked="0"/>
    </xf>
    <xf numFmtId="0" fontId="5" fillId="2" borderId="29" xfId="0" applyFont="1" applyFill="1" applyBorder="1" applyAlignment="1" applyProtection="1">
      <alignment horizontal="center"/>
      <protection locked="0"/>
    </xf>
    <xf numFmtId="9" fontId="17" fillId="0" borderId="30" xfId="1" applyFont="1" applyBorder="1" applyAlignment="1" applyProtection="1">
      <alignment horizontal="center" vertical="center"/>
      <protection locked="0"/>
    </xf>
    <xf numFmtId="9" fontId="17" fillId="0" borderId="15" xfId="1" applyFont="1" applyBorder="1" applyAlignment="1" applyProtection="1">
      <alignment horizontal="center" vertical="center"/>
      <protection locked="0"/>
    </xf>
    <xf numFmtId="9" fontId="17" fillId="0" borderId="31" xfId="1" applyFont="1" applyBorder="1" applyAlignment="1" applyProtection="1">
      <alignment horizontal="center" vertical="center"/>
      <protection locked="0"/>
    </xf>
    <xf numFmtId="9" fontId="17" fillId="0" borderId="6" xfId="1" applyFont="1" applyBorder="1" applyAlignment="1" applyProtection="1">
      <alignment horizontal="center" vertical="center"/>
      <protection locked="0"/>
    </xf>
    <xf numFmtId="9" fontId="17" fillId="0" borderId="0" xfId="1" applyFont="1" applyBorder="1" applyAlignment="1" applyProtection="1">
      <alignment horizontal="center" vertical="center"/>
      <protection locked="0"/>
    </xf>
    <xf numFmtId="9" fontId="17" fillId="0" borderId="7" xfId="1" applyFont="1" applyBorder="1" applyAlignment="1" applyProtection="1">
      <alignment horizontal="center" vertical="center"/>
      <protection locked="0"/>
    </xf>
    <xf numFmtId="9" fontId="17" fillId="0" borderId="10" xfId="1" applyFont="1" applyBorder="1" applyAlignment="1" applyProtection="1">
      <alignment horizontal="center" vertical="center"/>
      <protection locked="0"/>
    </xf>
    <xf numFmtId="9" fontId="17" fillId="0" borderId="11" xfId="1" applyFont="1" applyBorder="1" applyAlignment="1" applyProtection="1">
      <alignment horizontal="center" vertical="center"/>
      <protection locked="0"/>
    </xf>
    <xf numFmtId="9" fontId="17" fillId="0" borderId="12" xfId="1" applyFont="1" applyBorder="1" applyAlignment="1" applyProtection="1">
      <alignment horizontal="center" vertical="center"/>
      <protection locked="0"/>
    </xf>
    <xf numFmtId="0" fontId="5" fillId="2" borderId="2" xfId="0" applyFont="1" applyFill="1" applyBorder="1" applyAlignment="1" applyProtection="1">
      <alignment horizontal="center" vertical="center"/>
      <protection locked="0"/>
    </xf>
    <xf numFmtId="0" fontId="9" fillId="2" borderId="1" xfId="0" applyFont="1" applyFill="1" applyBorder="1" applyAlignment="1" applyProtection="1">
      <alignment horizontal="center"/>
      <protection locked="0"/>
    </xf>
    <xf numFmtId="0" fontId="9" fillId="2" borderId="0" xfId="0" applyFont="1" applyFill="1" applyAlignment="1" applyProtection="1">
      <alignment horizontal="center"/>
      <protection locked="0"/>
    </xf>
    <xf numFmtId="0" fontId="5" fillId="2" borderId="6" xfId="0" applyFont="1" applyFill="1" applyBorder="1" applyAlignment="1" applyProtection="1">
      <alignment horizontal="center" vertical="center"/>
      <protection locked="0"/>
    </xf>
    <xf numFmtId="0" fontId="5" fillId="2" borderId="0" xfId="0" applyFont="1" applyFill="1" applyAlignment="1" applyProtection="1">
      <alignment horizontal="center" vertical="center"/>
      <protection locked="0"/>
    </xf>
    <xf numFmtId="0" fontId="5" fillId="2" borderId="7" xfId="0" applyFont="1" applyFill="1" applyBorder="1" applyAlignment="1" applyProtection="1">
      <alignment horizontal="center" vertical="center"/>
      <protection locked="0"/>
    </xf>
    <xf numFmtId="0" fontId="5" fillId="2" borderId="10" xfId="0" applyFont="1" applyFill="1" applyBorder="1" applyAlignment="1" applyProtection="1">
      <alignment horizontal="center" vertical="center"/>
      <protection locked="0"/>
    </xf>
    <xf numFmtId="0" fontId="5" fillId="2" borderId="11" xfId="0" applyFont="1" applyFill="1" applyBorder="1" applyAlignment="1" applyProtection="1">
      <alignment horizontal="center" vertical="center"/>
      <protection locked="0"/>
    </xf>
    <xf numFmtId="0" fontId="5" fillId="2" borderId="12" xfId="0" applyFont="1" applyFill="1" applyBorder="1" applyAlignment="1" applyProtection="1">
      <alignment horizontal="center" vertical="center"/>
      <protection locked="0"/>
    </xf>
    <xf numFmtId="0" fontId="21" fillId="0" borderId="2" xfId="0" applyFont="1" applyBorder="1" applyAlignment="1" applyProtection="1">
      <alignment horizontal="left" vertical="top" wrapText="1"/>
      <protection locked="0"/>
    </xf>
    <xf numFmtId="0" fontId="21" fillId="0" borderId="2" xfId="0" applyFont="1" applyBorder="1" applyAlignment="1" applyProtection="1">
      <alignment horizontal="left" vertical="center" wrapText="1"/>
      <protection locked="0"/>
    </xf>
    <xf numFmtId="0" fontId="8" fillId="0" borderId="0" xfId="0" applyFont="1" applyAlignment="1" applyProtection="1">
      <alignment horizontal="center"/>
      <protection locked="0"/>
    </xf>
    <xf numFmtId="0" fontId="21" fillId="0" borderId="3" xfId="0" applyFont="1" applyBorder="1" applyAlignment="1" applyProtection="1">
      <alignment horizontal="left" vertical="top" wrapText="1"/>
      <protection locked="0"/>
    </xf>
    <xf numFmtId="0" fontId="21" fillId="0" borderId="4" xfId="0" applyFont="1" applyBorder="1" applyAlignment="1" applyProtection="1">
      <alignment horizontal="left" vertical="top" wrapText="1"/>
      <protection locked="0"/>
    </xf>
    <xf numFmtId="0" fontId="21" fillId="0" borderId="5" xfId="0" applyFont="1" applyBorder="1" applyAlignment="1" applyProtection="1">
      <alignment horizontal="left" vertical="top" wrapText="1"/>
      <protection locked="0"/>
    </xf>
    <xf numFmtId="0" fontId="10" fillId="0" borderId="3" xfId="0" applyFont="1" applyBorder="1" applyAlignment="1">
      <alignment horizontal="center" vertical="center"/>
    </xf>
    <xf numFmtId="0" fontId="10" fillId="0" borderId="5" xfId="0" applyFont="1" applyBorder="1" applyAlignment="1">
      <alignment horizontal="center" vertical="center"/>
    </xf>
    <xf numFmtId="0" fontId="10" fillId="0" borderId="4" xfId="0" applyFont="1" applyBorder="1" applyAlignment="1">
      <alignment horizontal="center" vertical="center"/>
    </xf>
    <xf numFmtId="0" fontId="26" fillId="6" borderId="3" xfId="0" applyFont="1" applyFill="1" applyBorder="1" applyAlignment="1" applyProtection="1">
      <alignment horizontal="left" vertical="center" wrapText="1"/>
      <protection locked="0"/>
    </xf>
    <xf numFmtId="0" fontId="26" fillId="6" borderId="4" xfId="0" applyFont="1" applyFill="1" applyBorder="1" applyAlignment="1" applyProtection="1">
      <alignment horizontal="left" vertical="center" wrapText="1"/>
      <protection locked="0"/>
    </xf>
    <xf numFmtId="0" fontId="26" fillId="6" borderId="33" xfId="0" applyFont="1" applyFill="1" applyBorder="1" applyAlignment="1" applyProtection="1">
      <alignment horizontal="left" vertical="center" wrapText="1"/>
      <protection locked="0"/>
    </xf>
    <xf numFmtId="0" fontId="10" fillId="0" borderId="2" xfId="0" applyFont="1" applyBorder="1" applyAlignment="1">
      <alignment horizontal="center" vertical="center"/>
    </xf>
    <xf numFmtId="0" fontId="11" fillId="2" borderId="9" xfId="0" applyFont="1" applyFill="1" applyBorder="1" applyAlignment="1">
      <alignment horizontal="left" vertical="center"/>
    </xf>
    <xf numFmtId="0" fontId="11" fillId="2" borderId="8" xfId="0" applyFont="1" applyFill="1" applyBorder="1" applyAlignment="1">
      <alignment horizontal="left" vertical="center"/>
    </xf>
    <xf numFmtId="0" fontId="11" fillId="2" borderId="13" xfId="0" applyFont="1" applyFill="1" applyBorder="1" applyAlignment="1">
      <alignment horizontal="left" vertical="center"/>
    </xf>
    <xf numFmtId="0" fontId="12" fillId="0" borderId="2" xfId="0" applyFont="1" applyBorder="1" applyAlignment="1">
      <alignment horizontal="center" vertical="center"/>
    </xf>
    <xf numFmtId="0" fontId="11" fillId="2" borderId="1" xfId="0" applyFont="1" applyFill="1" applyBorder="1" applyAlignment="1" applyProtection="1">
      <alignment horizontal="center"/>
      <protection locked="0"/>
    </xf>
    <xf numFmtId="0" fontId="11" fillId="2" borderId="0" xfId="0" applyFont="1" applyFill="1" applyAlignment="1" applyProtection="1">
      <alignment horizontal="center"/>
      <protection locked="0"/>
    </xf>
    <xf numFmtId="0" fontId="11" fillId="2" borderId="0" xfId="0" applyFont="1" applyFill="1" applyAlignment="1">
      <alignment horizontal="center"/>
    </xf>
    <xf numFmtId="0" fontId="11" fillId="2" borderId="2" xfId="0" applyFont="1" applyFill="1" applyBorder="1" applyAlignment="1">
      <alignment horizont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11" fillId="2" borderId="5" xfId="0" applyFont="1" applyFill="1" applyBorder="1" applyAlignment="1">
      <alignment horizontal="center" vertical="center"/>
    </xf>
    <xf numFmtId="0" fontId="10" fillId="0" borderId="24" xfId="0" applyFont="1" applyBorder="1" applyAlignment="1" applyProtection="1">
      <alignment horizontal="center" vertical="center"/>
      <protection locked="0"/>
    </xf>
    <xf numFmtId="0" fontId="10" fillId="0" borderId="25" xfId="0" applyFont="1" applyBorder="1" applyAlignment="1" applyProtection="1">
      <alignment horizontal="center" vertical="center"/>
      <protection locked="0"/>
    </xf>
    <xf numFmtId="0" fontId="10" fillId="0" borderId="26" xfId="0" applyFont="1" applyBorder="1" applyAlignment="1" applyProtection="1">
      <alignment horizontal="center" vertical="center"/>
      <protection locked="0"/>
    </xf>
    <xf numFmtId="0" fontId="10" fillId="0" borderId="6" xfId="0" applyFont="1" applyBorder="1" applyAlignment="1" applyProtection="1">
      <alignment horizontal="center" vertical="center"/>
      <protection locked="0"/>
    </xf>
    <xf numFmtId="0" fontId="10" fillId="0" borderId="0" xfId="0" applyFont="1" applyAlignment="1" applyProtection="1">
      <alignment horizontal="center" vertical="center"/>
      <protection locked="0"/>
    </xf>
    <xf numFmtId="0" fontId="10" fillId="0" borderId="7" xfId="0" applyFont="1" applyBorder="1" applyAlignment="1" applyProtection="1">
      <alignment horizontal="center" vertical="center"/>
      <protection locked="0"/>
    </xf>
    <xf numFmtId="0" fontId="10" fillId="0" borderId="10" xfId="0" applyFont="1" applyBorder="1" applyAlignment="1" applyProtection="1">
      <alignment horizontal="center" vertical="center"/>
      <protection locked="0"/>
    </xf>
    <xf numFmtId="0" fontId="10" fillId="0" borderId="11" xfId="0" applyFont="1" applyBorder="1" applyAlignment="1" applyProtection="1">
      <alignment horizontal="center" vertical="center"/>
      <protection locked="0"/>
    </xf>
    <xf numFmtId="0" fontId="10" fillId="0" borderId="12" xfId="0" applyFont="1" applyBorder="1" applyAlignment="1" applyProtection="1">
      <alignment horizontal="center" vertical="center"/>
      <protection locked="0"/>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2" fillId="0" borderId="5" xfId="0" applyFont="1" applyBorder="1" applyAlignment="1">
      <alignment horizontal="center" vertical="center"/>
    </xf>
    <xf numFmtId="0" fontId="10" fillId="0" borderId="0" xfId="0" applyFont="1" applyAlignment="1">
      <alignment horizontal="center" vertical="center"/>
    </xf>
    <xf numFmtId="0" fontId="10" fillId="0" borderId="35" xfId="0" applyFont="1" applyBorder="1" applyAlignment="1" applyProtection="1">
      <alignment horizontal="center" vertical="center"/>
      <protection locked="0"/>
    </xf>
    <xf numFmtId="0" fontId="10" fillId="0" borderId="37" xfId="0" applyFont="1" applyBorder="1" applyAlignment="1" applyProtection="1">
      <alignment horizontal="center" vertical="center"/>
      <protection locked="0"/>
    </xf>
    <xf numFmtId="0" fontId="12" fillId="0" borderId="2" xfId="0" applyFont="1" applyBorder="1" applyAlignment="1" applyProtection="1">
      <alignment horizontal="center" vertical="center" wrapText="1"/>
      <protection locked="0"/>
    </xf>
    <xf numFmtId="0" fontId="10" fillId="0" borderId="39" xfId="0" applyFont="1" applyBorder="1" applyAlignment="1" applyProtection="1">
      <alignment horizontal="center" vertical="center"/>
      <protection locked="0"/>
    </xf>
    <xf numFmtId="0" fontId="10" fillId="0" borderId="41" xfId="0" applyFont="1" applyBorder="1" applyAlignment="1" applyProtection="1">
      <alignment horizontal="center" vertical="center"/>
      <protection locked="0"/>
    </xf>
    <xf numFmtId="0" fontId="18" fillId="0" borderId="21" xfId="0" applyFont="1" applyBorder="1" applyAlignment="1">
      <alignment horizontal="center" vertical="center"/>
    </xf>
    <xf numFmtId="0" fontId="18" fillId="0" borderId="23" xfId="0" applyFont="1" applyBorder="1" applyAlignment="1">
      <alignment horizontal="center" vertical="center"/>
    </xf>
    <xf numFmtId="0" fontId="11" fillId="2" borderId="9" xfId="0" applyFont="1" applyFill="1" applyBorder="1" applyAlignment="1" applyProtection="1">
      <alignment horizontal="center" vertical="center"/>
      <protection locked="0"/>
    </xf>
    <xf numFmtId="0" fontId="11" fillId="2" borderId="8" xfId="0" applyFont="1" applyFill="1" applyBorder="1" applyAlignment="1" applyProtection="1">
      <alignment horizontal="center" vertical="center"/>
      <protection locked="0"/>
    </xf>
    <xf numFmtId="0" fontId="11" fillId="2" borderId="13" xfId="0" applyFont="1" applyFill="1" applyBorder="1" applyAlignment="1" applyProtection="1">
      <alignment horizontal="center" vertical="center"/>
      <protection locked="0"/>
    </xf>
    <xf numFmtId="0" fontId="8" fillId="0" borderId="0" xfId="0" applyFont="1" applyAlignment="1">
      <alignment horizontal="center"/>
    </xf>
    <xf numFmtId="0" fontId="8" fillId="0" borderId="45" xfId="0" applyFont="1" applyBorder="1" applyAlignment="1">
      <alignment horizontal="center"/>
    </xf>
    <xf numFmtId="0" fontId="30" fillId="0" borderId="2" xfId="0" applyFont="1" applyBorder="1" applyAlignment="1" applyProtection="1">
      <alignment horizontal="center" vertical="center"/>
      <protection locked="0"/>
    </xf>
    <xf numFmtId="0" fontId="10" fillId="0" borderId="43" xfId="0" applyFont="1" applyBorder="1" applyAlignment="1" applyProtection="1">
      <alignment horizontal="center" vertical="center"/>
      <protection locked="0"/>
    </xf>
    <xf numFmtId="0" fontId="10" fillId="0" borderId="44" xfId="0" applyFont="1" applyBorder="1" applyAlignment="1" applyProtection="1">
      <alignment horizontal="center" vertical="center"/>
      <protection locked="0"/>
    </xf>
    <xf numFmtId="0" fontId="12" fillId="0" borderId="3" xfId="0" applyFont="1" applyBorder="1" applyAlignment="1" applyProtection="1">
      <alignment horizontal="center" vertical="center" wrapText="1"/>
      <protection locked="0"/>
    </xf>
    <xf numFmtId="0" fontId="12" fillId="0" borderId="4" xfId="0" applyFont="1" applyBorder="1" applyAlignment="1" applyProtection="1">
      <alignment horizontal="center" vertical="center" wrapText="1"/>
      <protection locked="0"/>
    </xf>
    <xf numFmtId="0" fontId="12" fillId="0" borderId="5" xfId="0" applyFont="1" applyBorder="1" applyAlignment="1" applyProtection="1">
      <alignment horizontal="center" vertical="center" wrapText="1"/>
      <protection locked="0"/>
    </xf>
    <xf numFmtId="0" fontId="10" fillId="0" borderId="9" xfId="0" applyFont="1" applyBorder="1" applyAlignment="1" applyProtection="1">
      <alignment horizontal="center" vertical="center"/>
      <protection locked="0"/>
    </xf>
    <xf numFmtId="0" fontId="10" fillId="0" borderId="42" xfId="0" applyFont="1" applyBorder="1" applyAlignment="1" applyProtection="1">
      <alignment horizontal="center" vertical="center" wrapText="1"/>
      <protection locked="0"/>
    </xf>
    <xf numFmtId="0" fontId="10" fillId="0" borderId="36" xfId="0" applyFont="1" applyBorder="1" applyAlignment="1" applyProtection="1">
      <alignment horizontal="center" vertical="center" wrapText="1"/>
      <protection locked="0"/>
    </xf>
    <xf numFmtId="0" fontId="10" fillId="0" borderId="37" xfId="0" applyFont="1" applyBorder="1" applyAlignment="1" applyProtection="1">
      <alignment horizontal="center" vertical="center" wrapText="1"/>
      <protection locked="0"/>
    </xf>
    <xf numFmtId="0" fontId="10" fillId="0" borderId="5" xfId="0" applyFont="1" applyBorder="1" applyAlignment="1" applyProtection="1">
      <alignment horizontal="center" vertical="center" wrapText="1"/>
      <protection locked="0"/>
    </xf>
    <xf numFmtId="0" fontId="10" fillId="0" borderId="2" xfId="0" applyFont="1" applyBorder="1" applyAlignment="1" applyProtection="1">
      <alignment horizontal="center" vertical="center" wrapText="1"/>
      <protection locked="0"/>
    </xf>
    <xf numFmtId="0" fontId="10" fillId="0" borderId="38" xfId="0" applyFont="1" applyBorder="1" applyAlignment="1" applyProtection="1">
      <alignment horizontal="center" vertical="center" wrapText="1"/>
      <protection locked="0"/>
    </xf>
    <xf numFmtId="0" fontId="10" fillId="0" borderId="39" xfId="0" applyFont="1" applyBorder="1" applyAlignment="1" applyProtection="1">
      <alignment horizontal="center" vertical="center" wrapText="1"/>
      <protection locked="0"/>
    </xf>
    <xf numFmtId="0" fontId="10" fillId="0" borderId="40" xfId="0" applyFont="1" applyBorder="1" applyAlignment="1" applyProtection="1">
      <alignment horizontal="center" vertical="center" wrapText="1"/>
      <protection locked="0"/>
    </xf>
    <xf numFmtId="0" fontId="10" fillId="0" borderId="41" xfId="0" applyFont="1" applyBorder="1" applyAlignment="1" applyProtection="1">
      <alignment horizontal="center" vertical="center" wrapText="1"/>
      <protection locked="0"/>
    </xf>
    <xf numFmtId="0" fontId="10" fillId="0" borderId="17" xfId="0" applyFont="1" applyBorder="1" applyAlignment="1" applyProtection="1">
      <alignment horizontal="center" vertical="center"/>
      <protection locked="0"/>
    </xf>
    <xf numFmtId="0" fontId="11" fillId="4" borderId="14" xfId="0" applyFont="1" applyFill="1" applyBorder="1" applyAlignment="1">
      <alignment horizontal="center"/>
    </xf>
    <xf numFmtId="0" fontId="11" fillId="4" borderId="15" xfId="0" applyFont="1" applyFill="1" applyBorder="1" applyAlignment="1">
      <alignment horizontal="center"/>
    </xf>
    <xf numFmtId="0" fontId="11" fillId="4" borderId="16" xfId="0" applyFont="1" applyFill="1" applyBorder="1" applyAlignment="1">
      <alignment horizontal="center"/>
    </xf>
    <xf numFmtId="0" fontId="10" fillId="0" borderId="15" xfId="0" applyFont="1" applyBorder="1" applyAlignment="1" applyProtection="1">
      <alignment horizontal="center" vertical="center"/>
      <protection locked="0"/>
    </xf>
    <xf numFmtId="0" fontId="10" fillId="0" borderId="16" xfId="0" applyFont="1" applyBorder="1" applyAlignment="1" applyProtection="1">
      <alignment horizontal="center" vertical="center"/>
      <protection locked="0"/>
    </xf>
    <xf numFmtId="0" fontId="11" fillId="4" borderId="21" xfId="0" applyFont="1" applyFill="1" applyBorder="1" applyAlignment="1" applyProtection="1">
      <alignment horizontal="center"/>
      <protection locked="0"/>
    </xf>
    <xf numFmtId="0" fontId="11" fillId="4" borderId="22" xfId="0" applyFont="1" applyFill="1" applyBorder="1" applyAlignment="1" applyProtection="1">
      <alignment horizontal="center"/>
      <protection locked="0"/>
    </xf>
    <xf numFmtId="0" fontId="11" fillId="4" borderId="23" xfId="0" applyFont="1" applyFill="1" applyBorder="1" applyAlignment="1" applyProtection="1">
      <alignment horizontal="center"/>
      <protection locked="0"/>
    </xf>
    <xf numFmtId="0" fontId="10" fillId="0" borderId="0" xfId="0" applyFont="1" applyAlignment="1">
      <alignment horizontal="center"/>
    </xf>
    <xf numFmtId="0" fontId="10" fillId="0" borderId="17" xfId="0" applyFont="1" applyBorder="1" applyAlignment="1">
      <alignment horizontal="center"/>
    </xf>
    <xf numFmtId="0" fontId="10" fillId="0" borderId="14" xfId="0" applyFont="1" applyBorder="1" applyAlignment="1">
      <alignment horizontal="left"/>
    </xf>
    <xf numFmtId="0" fontId="10" fillId="0" borderId="15" xfId="0" applyFont="1" applyBorder="1" applyAlignment="1">
      <alignment horizontal="left"/>
    </xf>
    <xf numFmtId="0" fontId="10" fillId="0" borderId="1" xfId="0" applyFont="1" applyBorder="1" applyAlignment="1">
      <alignment horizontal="left"/>
    </xf>
    <xf numFmtId="0" fontId="10" fillId="0" borderId="0" xfId="0" applyFont="1" applyAlignment="1">
      <alignment horizontal="left"/>
    </xf>
    <xf numFmtId="0" fontId="10" fillId="0" borderId="18" xfId="0" applyFont="1" applyBorder="1" applyAlignment="1">
      <alignment horizontal="left"/>
    </xf>
    <xf numFmtId="0" fontId="10" fillId="0" borderId="19" xfId="0" applyFont="1" applyBorder="1" applyAlignment="1">
      <alignment horizontal="left"/>
    </xf>
    <xf numFmtId="0" fontId="11" fillId="4" borderId="21" xfId="0" applyFont="1" applyFill="1" applyBorder="1" applyAlignment="1">
      <alignment horizontal="center"/>
    </xf>
    <xf numFmtId="0" fontId="11" fillId="4" borderId="22" xfId="0" applyFont="1" applyFill="1" applyBorder="1" applyAlignment="1">
      <alignment horizontal="center"/>
    </xf>
    <xf numFmtId="0" fontId="11" fillId="4" borderId="23" xfId="0" applyFont="1" applyFill="1" applyBorder="1" applyAlignment="1">
      <alignment horizontal="center"/>
    </xf>
    <xf numFmtId="0" fontId="10" fillId="0" borderId="0" xfId="0" applyFont="1" applyAlignment="1" applyProtection="1">
      <alignment horizontal="left"/>
      <protection locked="0"/>
    </xf>
    <xf numFmtId="0" fontId="10" fillId="0" borderId="19" xfId="0" applyFont="1" applyBorder="1" applyAlignment="1" applyProtection="1">
      <alignment horizontal="center" vertical="center"/>
      <protection locked="0"/>
    </xf>
    <xf numFmtId="0" fontId="10" fillId="0" borderId="20" xfId="0" applyFont="1" applyBorder="1" applyAlignment="1" applyProtection="1">
      <alignment horizontal="center" vertical="center"/>
      <protection locked="0"/>
    </xf>
    <xf numFmtId="0" fontId="10" fillId="0" borderId="19" xfId="0" applyFont="1" applyBorder="1" applyAlignment="1">
      <alignment horizontal="center"/>
    </xf>
    <xf numFmtId="0" fontId="10" fillId="0" borderId="20" xfId="0" applyFont="1" applyBorder="1" applyAlignment="1">
      <alignment horizontal="center"/>
    </xf>
    <xf numFmtId="0" fontId="33" fillId="0" borderId="47" xfId="0" applyFont="1" applyBorder="1" applyAlignment="1" applyProtection="1">
      <alignment horizontal="center" vertical="center" wrapText="1"/>
      <protection locked="0"/>
    </xf>
    <xf numFmtId="0" fontId="33" fillId="0" borderId="48" xfId="0" applyFont="1" applyBorder="1" applyAlignment="1" applyProtection="1">
      <alignment horizontal="center" vertical="center" wrapText="1"/>
      <protection locked="0"/>
    </xf>
    <xf numFmtId="0" fontId="34" fillId="0" borderId="2" xfId="0" applyFont="1" applyBorder="1" applyAlignment="1" applyProtection="1">
      <alignment horizontal="center" vertical="center" wrapText="1"/>
      <protection locked="0"/>
    </xf>
    <xf numFmtId="0" fontId="26" fillId="0" borderId="3" xfId="0" applyFont="1" applyBorder="1" applyAlignment="1" applyProtection="1">
      <alignment horizontal="left" vertical="center" wrapText="1"/>
      <protection locked="0"/>
    </xf>
    <xf numFmtId="0" fontId="21" fillId="0" borderId="34" xfId="0" applyFont="1" applyBorder="1" applyAlignment="1" applyProtection="1">
      <alignment horizontal="center" vertical="center" wrapText="1"/>
      <protection locked="0"/>
    </xf>
    <xf numFmtId="0" fontId="21" fillId="0" borderId="5" xfId="0" applyFont="1" applyBorder="1" applyAlignment="1" applyProtection="1">
      <alignment horizontal="center" vertical="center" wrapText="1"/>
      <protection locked="0"/>
    </xf>
    <xf numFmtId="0" fontId="16" fillId="0" borderId="2" xfId="0" applyFont="1" applyBorder="1" applyAlignment="1" applyProtection="1">
      <alignment horizontal="center" vertical="center" wrapText="1"/>
      <protection locked="0"/>
    </xf>
    <xf numFmtId="0" fontId="33" fillId="0" borderId="3" xfId="0" applyFont="1" applyBorder="1" applyAlignment="1" applyProtection="1">
      <alignment horizontal="center" vertical="center" wrapText="1"/>
      <protection locked="0"/>
    </xf>
    <xf numFmtId="0" fontId="33" fillId="0" borderId="5" xfId="0" applyFont="1" applyBorder="1" applyAlignment="1" applyProtection="1">
      <alignment horizontal="center" vertical="center" wrapText="1"/>
      <protection locked="0"/>
    </xf>
    <xf numFmtId="0" fontId="48" fillId="0" borderId="2" xfId="0" applyFont="1" applyBorder="1" applyAlignment="1" applyProtection="1">
      <alignment horizontal="center" vertical="center"/>
      <protection locked="0"/>
    </xf>
    <xf numFmtId="0" fontId="48" fillId="0" borderId="9" xfId="0" applyFont="1" applyBorder="1" applyAlignment="1" applyProtection="1">
      <alignment horizontal="center" vertical="center"/>
      <protection locked="0"/>
    </xf>
    <xf numFmtId="0" fontId="21" fillId="0" borderId="3" xfId="0" applyFont="1" applyBorder="1" applyAlignment="1" applyProtection="1">
      <alignment horizontal="center" vertical="center" wrapText="1"/>
      <protection locked="0"/>
    </xf>
    <xf numFmtId="0" fontId="32" fillId="0" borderId="3" xfId="0" applyFont="1" applyBorder="1" applyAlignment="1" applyProtection="1">
      <alignment horizontal="left" vertical="center" wrapText="1"/>
      <protection locked="0"/>
    </xf>
    <xf numFmtId="0" fontId="26" fillId="0" borderId="3" xfId="0" applyFont="1" applyBorder="1" applyAlignment="1" applyProtection="1">
      <alignment horizontal="center" vertical="center" wrapText="1"/>
      <protection locked="0"/>
    </xf>
    <xf numFmtId="0" fontId="26" fillId="0" borderId="5" xfId="0" applyFont="1" applyBorder="1" applyAlignment="1" applyProtection="1">
      <alignment horizontal="center" vertical="center" wrapText="1"/>
      <protection locked="0"/>
    </xf>
    <xf numFmtId="0" fontId="21" fillId="0" borderId="3" xfId="0" applyFont="1" applyBorder="1" applyAlignment="1" applyProtection="1">
      <alignment horizontal="left" vertical="center" wrapText="1"/>
      <protection locked="0"/>
    </xf>
    <xf numFmtId="0" fontId="16" fillId="0" borderId="2" xfId="0" applyFont="1" applyBorder="1" applyAlignment="1" applyProtection="1">
      <alignment horizontal="center" vertical="center"/>
      <protection locked="0"/>
    </xf>
    <xf numFmtId="0" fontId="10" fillId="0" borderId="3" xfId="0" applyFont="1" applyBorder="1" applyAlignment="1" applyProtection="1">
      <alignment horizontal="left" vertical="center" wrapText="1"/>
      <protection locked="0"/>
    </xf>
    <xf numFmtId="0" fontId="10" fillId="0" borderId="5" xfId="0" applyFont="1" applyBorder="1" applyAlignment="1" applyProtection="1">
      <alignment horizontal="left" vertical="center" wrapText="1"/>
      <protection locked="0"/>
    </xf>
    <xf numFmtId="0" fontId="34" fillId="0" borderId="3" xfId="0" applyFont="1" applyBorder="1" applyAlignment="1" applyProtection="1">
      <alignment horizontal="left" vertical="center" wrapText="1"/>
      <protection locked="0"/>
    </xf>
    <xf numFmtId="0" fontId="34" fillId="0" borderId="5" xfId="0" applyFont="1" applyBorder="1" applyAlignment="1" applyProtection="1">
      <alignment horizontal="left" vertical="center" wrapText="1"/>
      <protection locked="0"/>
    </xf>
    <xf numFmtId="0" fontId="33" fillId="0" borderId="3" xfId="0" applyFont="1" applyBorder="1" applyAlignment="1" applyProtection="1">
      <alignment horizontal="left" vertical="center" wrapText="1"/>
      <protection locked="0"/>
    </xf>
    <xf numFmtId="0" fontId="31" fillId="0" borderId="24" xfId="0" applyFont="1" applyBorder="1" applyAlignment="1" applyProtection="1">
      <alignment horizontal="left" vertical="center" wrapText="1"/>
      <protection locked="0"/>
    </xf>
    <xf numFmtId="0" fontId="33" fillId="0" borderId="25" xfId="0" applyFont="1" applyBorder="1" applyAlignment="1" applyProtection="1">
      <alignment horizontal="left" vertical="center" wrapText="1"/>
      <protection locked="0"/>
    </xf>
    <xf numFmtId="0" fontId="33" fillId="0" borderId="26" xfId="0" applyFont="1" applyBorder="1" applyAlignment="1" applyProtection="1">
      <alignment horizontal="left" vertical="center" wrapText="1"/>
      <protection locked="0"/>
    </xf>
    <xf numFmtId="0" fontId="33" fillId="0" borderId="24" xfId="0" applyFont="1" applyBorder="1" applyAlignment="1" applyProtection="1">
      <alignment horizontal="center" vertical="center" wrapText="1"/>
      <protection locked="0"/>
    </xf>
    <xf numFmtId="0" fontId="33" fillId="0" borderId="26" xfId="0" applyFont="1" applyBorder="1" applyAlignment="1" applyProtection="1">
      <alignment horizontal="center" vertical="center" wrapText="1"/>
      <protection locked="0"/>
    </xf>
    <xf numFmtId="0" fontId="22" fillId="0" borderId="3" xfId="2" applyBorder="1" applyAlignment="1" applyProtection="1">
      <alignment horizontal="center" vertical="center" wrapText="1"/>
      <protection locked="0"/>
    </xf>
    <xf numFmtId="0" fontId="22" fillId="0" borderId="5" xfId="3" applyBorder="1" applyAlignment="1" applyProtection="1">
      <alignment horizontal="center" vertical="center" wrapText="1"/>
      <protection locked="0"/>
    </xf>
    <xf numFmtId="0" fontId="34" fillId="0" borderId="9" xfId="0" applyFont="1" applyBorder="1" applyAlignment="1" applyProtection="1">
      <alignment horizontal="center" vertical="center" wrapText="1"/>
      <protection locked="0"/>
    </xf>
    <xf numFmtId="0" fontId="11" fillId="2" borderId="10" xfId="0" applyFont="1" applyFill="1" applyBorder="1" applyAlignment="1" applyProtection="1">
      <alignment horizontal="center" vertical="center" wrapText="1"/>
      <protection locked="0"/>
    </xf>
    <xf numFmtId="0" fontId="11" fillId="2" borderId="11" xfId="0" applyFont="1" applyFill="1" applyBorder="1" applyAlignment="1" applyProtection="1">
      <alignment horizontal="center" vertical="center" wrapText="1"/>
      <protection locked="0"/>
    </xf>
    <xf numFmtId="0" fontId="11" fillId="2" borderId="12" xfId="0" applyFont="1" applyFill="1" applyBorder="1" applyAlignment="1" applyProtection="1">
      <alignment horizontal="center" vertical="center" wrapText="1"/>
      <protection locked="0"/>
    </xf>
    <xf numFmtId="0" fontId="31" fillId="0" borderId="49" xfId="0" applyFont="1" applyBorder="1" applyAlignment="1" applyProtection="1">
      <alignment horizontal="left" vertical="center" wrapText="1"/>
      <protection locked="0"/>
    </xf>
    <xf numFmtId="0" fontId="33" fillId="0" borderId="49" xfId="0" applyFont="1" applyBorder="1" applyAlignment="1" applyProtection="1">
      <alignment horizontal="left" vertical="center" wrapText="1"/>
      <protection locked="0"/>
    </xf>
    <xf numFmtId="0" fontId="31" fillId="0" borderId="3" xfId="0" applyFont="1" applyBorder="1" applyAlignment="1" applyProtection="1">
      <alignment horizontal="center" vertical="center" wrapText="1"/>
      <protection locked="0"/>
    </xf>
    <xf numFmtId="0" fontId="31" fillId="0" borderId="33" xfId="0" applyFont="1" applyBorder="1" applyAlignment="1" applyProtection="1">
      <alignment horizontal="center" vertical="center" wrapText="1"/>
      <protection locked="0"/>
    </xf>
    <xf numFmtId="0" fontId="34" fillId="0" borderId="49" xfId="0" applyFont="1" applyBorder="1" applyAlignment="1" applyProtection="1">
      <alignment horizontal="center" vertical="center" wrapText="1"/>
      <protection locked="0"/>
    </xf>
    <xf numFmtId="0" fontId="11" fillId="2" borderId="3" xfId="0" applyFont="1" applyFill="1" applyBorder="1" applyAlignment="1" applyProtection="1">
      <alignment horizontal="center" vertical="center" wrapText="1"/>
      <protection locked="0"/>
    </xf>
    <xf numFmtId="0" fontId="11" fillId="2" borderId="4" xfId="0" applyFont="1" applyFill="1" applyBorder="1" applyAlignment="1" applyProtection="1">
      <alignment horizontal="center" vertical="center" wrapText="1"/>
      <protection locked="0"/>
    </xf>
    <xf numFmtId="0" fontId="11" fillId="2" borderId="5" xfId="0" applyFont="1" applyFill="1" applyBorder="1" applyAlignment="1" applyProtection="1">
      <alignment horizontal="center" vertical="center" wrapText="1"/>
      <protection locked="0"/>
    </xf>
    <xf numFmtId="0" fontId="10" fillId="0" borderId="2" xfId="0" applyFont="1" applyBorder="1" applyAlignment="1">
      <alignment vertical="center"/>
    </xf>
    <xf numFmtId="0" fontId="12" fillId="0" borderId="3"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5" xfId="0" applyFont="1" applyBorder="1" applyAlignment="1">
      <alignment horizontal="center" vertical="center" wrapText="1"/>
    </xf>
    <xf numFmtId="0" fontId="10" fillId="0" borderId="3" xfId="0" applyFont="1" applyBorder="1" applyAlignment="1" applyProtection="1">
      <alignment horizontal="center" vertical="center"/>
      <protection locked="0"/>
    </xf>
    <xf numFmtId="0" fontId="10" fillId="0" borderId="4" xfId="0" applyFont="1" applyBorder="1" applyAlignment="1" applyProtection="1">
      <alignment horizontal="center" vertical="center"/>
      <protection locked="0"/>
    </xf>
    <xf numFmtId="0" fontId="10" fillId="0" borderId="5" xfId="0" applyFont="1" applyBorder="1" applyAlignment="1" applyProtection="1">
      <alignment horizontal="center" vertical="center"/>
      <protection locked="0"/>
    </xf>
    <xf numFmtId="0" fontId="10" fillId="0" borderId="2" xfId="0" applyFont="1" applyBorder="1" applyAlignment="1" applyProtection="1">
      <alignment horizontal="center" vertical="center"/>
      <protection locked="0"/>
    </xf>
    <xf numFmtId="0" fontId="11" fillId="2" borderId="24" xfId="0" applyFont="1" applyFill="1" applyBorder="1" applyAlignment="1" applyProtection="1">
      <alignment horizontal="center" vertical="center"/>
      <protection locked="0"/>
    </xf>
    <xf numFmtId="0" fontId="11" fillId="2" borderId="26" xfId="0" applyFont="1" applyFill="1" applyBorder="1" applyAlignment="1" applyProtection="1">
      <alignment horizontal="center" vertical="center"/>
      <protection locked="0"/>
    </xf>
    <xf numFmtId="0" fontId="11" fillId="2" borderId="10" xfId="0" applyFont="1" applyFill="1" applyBorder="1" applyAlignment="1" applyProtection="1">
      <alignment horizontal="center" vertical="center"/>
      <protection locked="0"/>
    </xf>
    <xf numFmtId="0" fontId="11" fillId="2" borderId="12" xfId="0" applyFont="1" applyFill="1" applyBorder="1" applyAlignment="1" applyProtection="1">
      <alignment horizontal="center" vertical="center"/>
      <protection locked="0"/>
    </xf>
    <xf numFmtId="0" fontId="11" fillId="2" borderId="25" xfId="0" applyFont="1" applyFill="1" applyBorder="1" applyAlignment="1" applyProtection="1">
      <alignment horizontal="center" vertical="center"/>
      <protection locked="0"/>
    </xf>
    <xf numFmtId="0" fontId="11" fillId="2" borderId="11" xfId="0" applyFont="1" applyFill="1" applyBorder="1" applyAlignment="1" applyProtection="1">
      <alignment horizontal="center" vertical="center"/>
      <protection locked="0"/>
    </xf>
    <xf numFmtId="0" fontId="11" fillId="2" borderId="6" xfId="0" applyFont="1" applyFill="1" applyBorder="1" applyAlignment="1" applyProtection="1">
      <alignment horizontal="center" vertical="center"/>
      <protection locked="0"/>
    </xf>
    <xf numFmtId="0" fontId="11" fillId="2" borderId="7" xfId="0" applyFont="1" applyFill="1" applyBorder="1" applyAlignment="1" applyProtection="1">
      <alignment horizontal="center" vertical="center"/>
      <protection locked="0"/>
    </xf>
    <xf numFmtId="0" fontId="10" fillId="0" borderId="3" xfId="0" applyFont="1" applyBorder="1" applyAlignment="1" applyProtection="1">
      <alignment horizontal="center" vertical="center" wrapText="1"/>
      <protection locked="0"/>
    </xf>
    <xf numFmtId="0" fontId="11" fillId="2" borderId="11" xfId="0" applyFont="1" applyFill="1" applyBorder="1" applyAlignment="1">
      <alignment horizontal="center"/>
    </xf>
    <xf numFmtId="0" fontId="11" fillId="2" borderId="12" xfId="0" applyFont="1" applyFill="1" applyBorder="1" applyAlignment="1">
      <alignment horizontal="center"/>
    </xf>
    <xf numFmtId="0" fontId="12" fillId="0" borderId="2" xfId="0" applyFont="1" applyBorder="1" applyAlignment="1">
      <alignment horizontal="center" vertical="center" wrapText="1"/>
    </xf>
    <xf numFmtId="0" fontId="19" fillId="0" borderId="21" xfId="0" applyFont="1" applyBorder="1" applyAlignment="1">
      <alignment horizontal="center" vertical="center"/>
    </xf>
    <xf numFmtId="0" fontId="19" fillId="0" borderId="23" xfId="0" applyFont="1" applyBorder="1" applyAlignment="1">
      <alignment horizontal="center" vertical="center"/>
    </xf>
    <xf numFmtId="0" fontId="10" fillId="0" borderId="2" xfId="0" applyFont="1" applyBorder="1" applyAlignment="1">
      <alignment horizontal="center" vertical="center" wrapText="1"/>
    </xf>
    <xf numFmtId="0" fontId="11" fillId="2" borderId="21" xfId="0" applyFont="1" applyFill="1" applyBorder="1" applyAlignment="1" applyProtection="1">
      <alignment horizontal="center"/>
      <protection locked="0"/>
    </xf>
    <xf numFmtId="0" fontId="11" fillId="2" borderId="22" xfId="0" applyFont="1" applyFill="1" applyBorder="1" applyAlignment="1" applyProtection="1">
      <alignment horizontal="center"/>
      <protection locked="0"/>
    </xf>
    <xf numFmtId="0" fontId="11" fillId="2" borderId="23" xfId="0" applyFont="1" applyFill="1" applyBorder="1" applyAlignment="1" applyProtection="1">
      <alignment horizontal="center"/>
      <protection locked="0"/>
    </xf>
    <xf numFmtId="9" fontId="17" fillId="0" borderId="14" xfId="1" applyFont="1" applyBorder="1" applyAlignment="1" applyProtection="1">
      <alignment horizontal="center" vertical="center"/>
      <protection locked="0"/>
    </xf>
    <xf numFmtId="9" fontId="17" fillId="0" borderId="16" xfId="1" applyFont="1" applyBorder="1" applyAlignment="1" applyProtection="1">
      <alignment horizontal="center" vertical="center"/>
      <protection locked="0"/>
    </xf>
    <xf numFmtId="9" fontId="17" fillId="0" borderId="1" xfId="1" applyFont="1" applyBorder="1" applyAlignment="1" applyProtection="1">
      <alignment horizontal="center" vertical="center"/>
      <protection locked="0"/>
    </xf>
    <xf numFmtId="9" fontId="17" fillId="0" borderId="17" xfId="1" applyFont="1" applyBorder="1" applyAlignment="1" applyProtection="1">
      <alignment horizontal="center" vertical="center"/>
      <protection locked="0"/>
    </xf>
    <xf numFmtId="9" fontId="17" fillId="0" borderId="18" xfId="1" applyFont="1" applyBorder="1" applyAlignment="1" applyProtection="1">
      <alignment horizontal="center" vertical="center"/>
      <protection locked="0"/>
    </xf>
    <xf numFmtId="9" fontId="17" fillId="0" borderId="19" xfId="1" applyFont="1" applyBorder="1" applyAlignment="1" applyProtection="1">
      <alignment horizontal="center" vertical="center"/>
      <protection locked="0"/>
    </xf>
    <xf numFmtId="9" fontId="17" fillId="0" borderId="20" xfId="1" applyFont="1" applyBorder="1" applyAlignment="1" applyProtection="1">
      <alignment horizontal="center" vertical="center"/>
      <protection locked="0"/>
    </xf>
    <xf numFmtId="0" fontId="11" fillId="2" borderId="3" xfId="0" applyFont="1" applyFill="1" applyBorder="1" applyAlignment="1" applyProtection="1">
      <alignment horizontal="center" vertical="center"/>
      <protection locked="0"/>
    </xf>
    <xf numFmtId="0" fontId="11" fillId="2" borderId="4" xfId="0" applyFont="1" applyFill="1" applyBorder="1" applyAlignment="1" applyProtection="1">
      <alignment horizontal="center" vertical="center"/>
      <protection locked="0"/>
    </xf>
    <xf numFmtId="0" fontId="11" fillId="2" borderId="5" xfId="0" applyFont="1" applyFill="1" applyBorder="1" applyAlignment="1" applyProtection="1">
      <alignment horizontal="center" vertical="center"/>
      <protection locked="0"/>
    </xf>
    <xf numFmtId="0" fontId="11" fillId="2" borderId="0" xfId="0" applyFont="1" applyFill="1" applyAlignment="1" applyProtection="1">
      <alignment horizontal="center" vertical="center"/>
      <protection locked="0"/>
    </xf>
    <xf numFmtId="0" fontId="31" fillId="0" borderId="4" xfId="0" applyFont="1" applyBorder="1" applyAlignment="1" applyProtection="1">
      <alignment horizontal="left" vertical="center" wrapText="1"/>
      <protection locked="0"/>
    </xf>
    <xf numFmtId="0" fontId="21" fillId="0" borderId="34" xfId="0" applyFont="1" applyBorder="1" applyAlignment="1" applyProtection="1">
      <alignment horizontal="center" vertical="center"/>
      <protection locked="0"/>
    </xf>
    <xf numFmtId="0" fontId="26" fillId="0" borderId="4" xfId="0" applyFont="1" applyBorder="1" applyAlignment="1" applyProtection="1">
      <alignment horizontal="left" vertical="center" wrapText="1"/>
      <protection locked="0"/>
    </xf>
    <xf numFmtId="0" fontId="1" fillId="2" borderId="9"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13" xfId="0" applyFont="1" applyFill="1" applyBorder="1" applyAlignment="1">
      <alignment horizontal="center" vertical="center"/>
    </xf>
    <xf numFmtId="0" fontId="0" fillId="0" borderId="3" xfId="0" applyBorder="1" applyAlignment="1" applyProtection="1">
      <alignment horizontal="center" vertical="center" wrapText="1"/>
      <protection locked="0"/>
    </xf>
    <xf numFmtId="0" fontId="0" fillId="0" borderId="4"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0" fillId="0" borderId="0" xfId="0" applyAlignment="1" applyProtection="1">
      <alignment horizontal="center"/>
      <protection locked="0"/>
    </xf>
    <xf numFmtId="0" fontId="1" fillId="2" borderId="10" xfId="0" applyFont="1" applyFill="1" applyBorder="1" applyAlignment="1" applyProtection="1">
      <alignment horizontal="center"/>
      <protection locked="0"/>
    </xf>
    <xf numFmtId="0" fontId="1" fillId="2" borderId="11" xfId="0" applyFont="1" applyFill="1" applyBorder="1" applyAlignment="1" applyProtection="1">
      <alignment horizontal="center"/>
      <protection locked="0"/>
    </xf>
    <xf numFmtId="0" fontId="1" fillId="2" borderId="12" xfId="0" applyFont="1" applyFill="1" applyBorder="1" applyAlignment="1" applyProtection="1">
      <alignment horizontal="center"/>
      <protection locked="0"/>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2" xfId="0" applyFont="1" applyBorder="1" applyAlignment="1">
      <alignment horizontal="center" vertical="center" wrapText="1"/>
    </xf>
    <xf numFmtId="0" fontId="0" fillId="0" borderId="2" xfId="0" applyBorder="1" applyAlignment="1">
      <alignment horizontal="center" vertical="center" wrapText="1"/>
    </xf>
    <xf numFmtId="0" fontId="1" fillId="2" borderId="3" xfId="0" applyFont="1" applyFill="1" applyBorder="1" applyAlignment="1" applyProtection="1">
      <alignment horizontal="center" vertical="center"/>
      <protection locked="0"/>
    </xf>
    <xf numFmtId="0" fontId="1" fillId="2" borderId="4" xfId="0" applyFont="1" applyFill="1" applyBorder="1" applyAlignment="1" applyProtection="1">
      <alignment horizontal="center" vertical="center"/>
      <protection locked="0"/>
    </xf>
    <xf numFmtId="0" fontId="1" fillId="2" borderId="5" xfId="0" applyFont="1" applyFill="1" applyBorder="1" applyAlignment="1" applyProtection="1">
      <alignment horizontal="center" vertical="center"/>
      <protection locked="0"/>
    </xf>
    <xf numFmtId="0" fontId="0" fillId="0" borderId="2" xfId="0" applyBorder="1" applyAlignment="1" applyProtection="1">
      <alignment horizontal="center" vertical="center"/>
      <protection locked="0"/>
    </xf>
    <xf numFmtId="0" fontId="0" fillId="0" borderId="2" xfId="0" applyBorder="1" applyAlignment="1">
      <alignment horizontal="center" vertical="center"/>
    </xf>
    <xf numFmtId="0" fontId="0" fillId="0" borderId="0" xfId="0" applyAlignment="1">
      <alignment horizontal="center" vertical="center"/>
    </xf>
    <xf numFmtId="0" fontId="5" fillId="2" borderId="3" xfId="0" applyFont="1" applyFill="1" applyBorder="1" applyAlignment="1" applyProtection="1">
      <alignment horizontal="center" vertical="center"/>
      <protection locked="0"/>
    </xf>
    <xf numFmtId="0" fontId="5" fillId="2" borderId="4" xfId="0" applyFont="1" applyFill="1" applyBorder="1" applyAlignment="1" applyProtection="1">
      <alignment horizontal="center" vertical="center"/>
      <protection locked="0"/>
    </xf>
    <xf numFmtId="0" fontId="5" fillId="2" borderId="5" xfId="0" applyFont="1" applyFill="1" applyBorder="1" applyAlignment="1" applyProtection="1">
      <alignment horizontal="center" vertical="center"/>
      <protection locked="0"/>
    </xf>
    <xf numFmtId="0" fontId="8" fillId="0" borderId="3" xfId="0" applyFont="1" applyBorder="1" applyAlignment="1" applyProtection="1">
      <alignment horizontal="center" vertical="center" wrapText="1"/>
      <protection locked="0"/>
    </xf>
    <xf numFmtId="0" fontId="8" fillId="0" borderId="4" xfId="0" applyFont="1" applyBorder="1" applyAlignment="1" applyProtection="1">
      <alignment horizontal="center" vertical="center" wrapText="1"/>
      <protection locked="0"/>
    </xf>
    <xf numFmtId="0" fontId="8" fillId="0" borderId="5" xfId="0" applyFont="1" applyBorder="1" applyAlignment="1" applyProtection="1">
      <alignment horizontal="center" vertical="center" wrapText="1"/>
      <protection locked="0"/>
    </xf>
    <xf numFmtId="0" fontId="27" fillId="0" borderId="3" xfId="0" applyFont="1" applyBorder="1" applyAlignment="1" applyProtection="1">
      <alignment horizontal="center" vertical="center" wrapText="1"/>
      <protection locked="0"/>
    </xf>
    <xf numFmtId="0" fontId="27" fillId="0" borderId="4" xfId="0" applyFont="1" applyBorder="1" applyAlignment="1" applyProtection="1">
      <alignment horizontal="center" vertical="center" wrapText="1"/>
      <protection locked="0"/>
    </xf>
    <xf numFmtId="0" fontId="27" fillId="0" borderId="5" xfId="0" applyFont="1" applyBorder="1" applyAlignment="1" applyProtection="1">
      <alignment horizontal="center" vertical="center" wrapText="1"/>
      <protection locked="0"/>
    </xf>
    <xf numFmtId="0" fontId="8" fillId="0" borderId="2" xfId="0" applyFont="1" applyBorder="1" applyAlignment="1" applyProtection="1">
      <alignment horizontal="center" vertical="center" wrapText="1"/>
      <protection locked="0"/>
    </xf>
    <xf numFmtId="0" fontId="8" fillId="0" borderId="2" xfId="0" applyFont="1" applyBorder="1" applyAlignment="1" applyProtection="1">
      <alignment horizontal="center" vertical="center"/>
      <protection locked="0"/>
    </xf>
    <xf numFmtId="0" fontId="6" fillId="0" borderId="2" xfId="0" applyFont="1" applyBorder="1" applyAlignment="1">
      <alignment horizontal="center" vertical="center" wrapText="1"/>
    </xf>
    <xf numFmtId="0" fontId="24" fillId="0" borderId="2" xfId="0" applyFont="1" applyBorder="1" applyAlignment="1" applyProtection="1">
      <alignment horizontal="center" vertical="center" wrapText="1"/>
      <protection locked="0"/>
    </xf>
    <xf numFmtId="0" fontId="35" fillId="0" borderId="3" xfId="0" applyFont="1" applyBorder="1" applyAlignment="1" applyProtection="1">
      <alignment horizontal="center" vertical="center" wrapText="1"/>
      <protection locked="0"/>
    </xf>
    <xf numFmtId="0" fontId="35" fillId="0" borderId="4" xfId="0" applyFont="1" applyBorder="1" applyAlignment="1" applyProtection="1">
      <alignment horizontal="center" vertical="center" wrapText="1"/>
      <protection locked="0"/>
    </xf>
    <xf numFmtId="0" fontId="35" fillId="0" borderId="5" xfId="0" applyFont="1" applyBorder="1" applyAlignment="1" applyProtection="1">
      <alignment horizontal="center" vertical="center" wrapText="1"/>
      <protection locked="0"/>
    </xf>
    <xf numFmtId="0" fontId="22" fillId="0" borderId="4" xfId="2" applyBorder="1" applyAlignment="1" applyProtection="1">
      <alignment horizontal="center" vertical="center" wrapText="1"/>
      <protection locked="0"/>
    </xf>
    <xf numFmtId="0" fontId="22" fillId="0" borderId="5" xfId="2" applyBorder="1" applyAlignment="1" applyProtection="1">
      <alignment horizontal="center" vertical="center" wrapText="1"/>
      <protection locked="0"/>
    </xf>
    <xf numFmtId="0" fontId="47" fillId="0" borderId="3" xfId="0" applyFont="1" applyBorder="1" applyAlignment="1" applyProtection="1">
      <alignment horizontal="center" vertical="center" wrapText="1"/>
      <protection locked="0"/>
    </xf>
    <xf numFmtId="0" fontId="47" fillId="0" borderId="4" xfId="0" applyFont="1" applyBorder="1" applyAlignment="1" applyProtection="1">
      <alignment horizontal="center" vertical="center" wrapText="1"/>
      <protection locked="0"/>
    </xf>
    <xf numFmtId="0" fontId="47" fillId="0" borderId="5" xfId="0" applyFont="1" applyBorder="1" applyAlignment="1" applyProtection="1">
      <alignment horizontal="center" vertical="center" wrapText="1"/>
      <protection locked="0"/>
    </xf>
    <xf numFmtId="0" fontId="40" fillId="0" borderId="3" xfId="0" applyFont="1" applyBorder="1" applyAlignment="1" applyProtection="1">
      <alignment horizontal="center" vertical="center" wrapText="1"/>
      <protection locked="0"/>
    </xf>
    <xf numFmtId="0" fontId="40" fillId="0" borderId="4" xfId="0" applyFont="1" applyBorder="1" applyAlignment="1" applyProtection="1">
      <alignment horizontal="center" vertical="center" wrapText="1"/>
      <protection locked="0"/>
    </xf>
    <xf numFmtId="0" fontId="40" fillId="0" borderId="5" xfId="0" applyFont="1" applyBorder="1" applyAlignment="1" applyProtection="1">
      <alignment horizontal="center" vertical="center" wrapText="1"/>
      <protection locked="0"/>
    </xf>
    <xf numFmtId="0" fontId="39" fillId="5" borderId="3" xfId="0" applyFont="1" applyFill="1" applyBorder="1" applyAlignment="1" applyProtection="1">
      <alignment horizontal="center" vertical="center" wrapText="1"/>
      <protection locked="0"/>
    </xf>
    <xf numFmtId="0" fontId="8" fillId="5" borderId="4" xfId="0" applyFont="1" applyFill="1" applyBorder="1" applyAlignment="1" applyProtection="1">
      <alignment horizontal="center" vertical="center" wrapText="1"/>
      <protection locked="0"/>
    </xf>
    <xf numFmtId="0" fontId="8" fillId="5" borderId="5" xfId="0" applyFont="1" applyFill="1" applyBorder="1" applyAlignment="1" applyProtection="1">
      <alignment horizontal="center" vertical="center" wrapText="1"/>
      <protection locked="0"/>
    </xf>
    <xf numFmtId="0" fontId="8" fillId="5" borderId="3" xfId="0" applyFont="1" applyFill="1" applyBorder="1" applyAlignment="1" applyProtection="1">
      <alignment horizontal="center" vertical="center" wrapText="1"/>
      <protection locked="0"/>
    </xf>
    <xf numFmtId="0" fontId="45" fillId="6" borderId="3" xfId="0" applyFont="1" applyFill="1" applyBorder="1" applyAlignment="1" applyProtection="1">
      <alignment horizontal="center" vertical="center" wrapText="1"/>
      <protection locked="0"/>
    </xf>
    <xf numFmtId="0" fontId="45" fillId="6" borderId="4" xfId="0" applyFont="1" applyFill="1" applyBorder="1" applyAlignment="1" applyProtection="1">
      <alignment horizontal="center" vertical="center" wrapText="1"/>
      <protection locked="0"/>
    </xf>
    <xf numFmtId="0" fontId="45" fillId="6" borderId="5" xfId="0" applyFont="1" applyFill="1" applyBorder="1" applyAlignment="1" applyProtection="1">
      <alignment horizontal="center" vertical="center" wrapText="1"/>
      <protection locked="0"/>
    </xf>
    <xf numFmtId="0" fontId="27" fillId="6" borderId="3" xfId="0" applyFont="1" applyFill="1" applyBorder="1" applyAlignment="1" applyProtection="1">
      <alignment horizontal="center" vertical="center" wrapText="1"/>
      <protection locked="0"/>
    </xf>
    <xf numFmtId="0" fontId="27" fillId="6" borderId="4" xfId="0" applyFont="1" applyFill="1" applyBorder="1" applyAlignment="1" applyProtection="1">
      <alignment horizontal="center" vertical="center" wrapText="1"/>
      <protection locked="0"/>
    </xf>
    <xf numFmtId="0" fontId="27" fillId="6" borderId="5" xfId="0" applyFont="1" applyFill="1" applyBorder="1" applyAlignment="1" applyProtection="1">
      <alignment horizontal="center" vertical="center" wrapText="1"/>
      <protection locked="0"/>
    </xf>
    <xf numFmtId="0" fontId="22" fillId="0" borderId="3" xfId="3" applyBorder="1" applyAlignment="1" applyProtection="1">
      <alignment horizontal="center" vertical="center" wrapText="1"/>
      <protection locked="0"/>
    </xf>
    <xf numFmtId="0" fontId="22" fillId="0" borderId="4" xfId="3" applyBorder="1" applyAlignment="1" applyProtection="1">
      <alignment horizontal="center" vertical="center" wrapText="1"/>
      <protection locked="0"/>
    </xf>
    <xf numFmtId="0" fontId="22" fillId="0" borderId="2" xfId="2" applyBorder="1" applyAlignment="1" applyProtection="1">
      <alignment horizontal="center" vertical="center" wrapText="1"/>
      <protection locked="0"/>
    </xf>
    <xf numFmtId="0" fontId="8" fillId="0" borderId="3" xfId="0" applyFont="1" applyBorder="1" applyAlignment="1" applyProtection="1">
      <alignment horizontal="left" vertical="center" wrapText="1"/>
      <protection locked="0"/>
    </xf>
    <xf numFmtId="0" fontId="8" fillId="0" borderId="4" xfId="0" applyFont="1" applyBorder="1" applyAlignment="1" applyProtection="1">
      <alignment horizontal="left" vertical="center" wrapText="1"/>
      <protection locked="0"/>
    </xf>
    <xf numFmtId="0" fontId="8" fillId="0" borderId="5" xfId="0" applyFont="1" applyBorder="1" applyAlignment="1" applyProtection="1">
      <alignment horizontal="left" vertical="center" wrapText="1"/>
      <protection locked="0"/>
    </xf>
    <xf numFmtId="0" fontId="22" fillId="0" borderId="2" xfId="3" applyBorder="1" applyAlignment="1" applyProtection="1">
      <alignment horizontal="center" vertical="center" wrapText="1"/>
      <protection locked="0"/>
    </xf>
    <xf numFmtId="0" fontId="46" fillId="0" borderId="2" xfId="0" applyFont="1" applyBorder="1" applyAlignment="1" applyProtection="1">
      <alignment horizontal="center" vertical="center" wrapText="1"/>
      <protection locked="0"/>
    </xf>
    <xf numFmtId="11" fontId="0" fillId="0" borderId="2" xfId="0" applyNumberFormat="1" applyBorder="1" applyAlignment="1" applyProtection="1">
      <alignment horizontal="center" vertical="center" wrapText="1"/>
      <protection locked="0"/>
    </xf>
    <xf numFmtId="0" fontId="0" fillId="0" borderId="2" xfId="0" applyBorder="1" applyAlignment="1" applyProtection="1">
      <alignment horizontal="center" vertical="center" wrapText="1"/>
      <protection locked="0"/>
    </xf>
    <xf numFmtId="0" fontId="40" fillId="5" borderId="3" xfId="0" applyFont="1" applyFill="1" applyBorder="1" applyAlignment="1" applyProtection="1">
      <alignment horizontal="center" vertical="center" wrapText="1"/>
      <protection locked="0"/>
    </xf>
    <xf numFmtId="0" fontId="40" fillId="5" borderId="4" xfId="0" applyFont="1" applyFill="1" applyBorder="1" applyAlignment="1" applyProtection="1">
      <alignment horizontal="center" vertical="center" wrapText="1"/>
      <protection locked="0"/>
    </xf>
    <xf numFmtId="0" fontId="40" fillId="5" borderId="5" xfId="0" applyFont="1" applyFill="1" applyBorder="1" applyAlignment="1" applyProtection="1">
      <alignment horizontal="center" vertical="center" wrapText="1"/>
      <protection locked="0"/>
    </xf>
    <xf numFmtId="0" fontId="40" fillId="0" borderId="24" xfId="0" applyFont="1" applyBorder="1" applyAlignment="1" applyProtection="1">
      <alignment horizontal="center" vertical="center" wrapText="1"/>
      <protection locked="0"/>
    </xf>
    <xf numFmtId="0" fontId="40" fillId="0" borderId="25" xfId="0" applyFont="1" applyBorder="1" applyAlignment="1" applyProtection="1">
      <alignment horizontal="center" vertical="center" wrapText="1"/>
      <protection locked="0"/>
    </xf>
    <xf numFmtId="0" fontId="40" fillId="0" borderId="26" xfId="0" applyFont="1" applyBorder="1" applyAlignment="1" applyProtection="1">
      <alignment horizontal="center" vertical="center" wrapText="1"/>
      <protection locked="0"/>
    </xf>
    <xf numFmtId="0" fontId="8" fillId="0" borderId="10" xfId="0" applyFont="1" applyBorder="1" applyAlignment="1" applyProtection="1">
      <alignment horizontal="center" vertical="center" wrapText="1"/>
      <protection locked="0"/>
    </xf>
    <xf numFmtId="0" fontId="8" fillId="0" borderId="11" xfId="0" applyFont="1" applyBorder="1" applyAlignment="1" applyProtection="1">
      <alignment horizontal="center" vertical="center" wrapText="1"/>
      <protection locked="0"/>
    </xf>
    <xf numFmtId="0" fontId="8" fillId="0" borderId="12" xfId="0" applyFont="1" applyBorder="1" applyAlignment="1" applyProtection="1">
      <alignment horizontal="center" vertical="center" wrapText="1"/>
      <protection locked="0"/>
    </xf>
    <xf numFmtId="0" fontId="40" fillId="0" borderId="49" xfId="0" applyFont="1" applyBorder="1" applyAlignment="1" applyProtection="1">
      <alignment horizontal="center" vertical="center" wrapText="1"/>
      <protection locked="0"/>
    </xf>
    <xf numFmtId="0" fontId="40" fillId="0" borderId="4" xfId="0" applyFont="1" applyBorder="1" applyAlignment="1" applyProtection="1">
      <alignment horizontal="center" vertical="center"/>
      <protection locked="0"/>
    </xf>
    <xf numFmtId="0" fontId="40" fillId="0" borderId="5" xfId="0" applyFont="1" applyBorder="1" applyAlignment="1" applyProtection="1">
      <alignment horizontal="center" vertical="center"/>
      <protection locked="0"/>
    </xf>
    <xf numFmtId="0" fontId="40" fillId="0" borderId="3" xfId="0" applyFont="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0" fontId="8" fillId="0" borderId="4" xfId="0" applyFont="1" applyBorder="1" applyAlignment="1" applyProtection="1">
      <alignment horizontal="center" vertical="center"/>
      <protection locked="0"/>
    </xf>
    <xf numFmtId="0" fontId="8" fillId="0" borderId="5" xfId="0" applyFont="1" applyBorder="1" applyAlignment="1" applyProtection="1">
      <alignment horizontal="center" vertical="center"/>
      <protection locked="0"/>
    </xf>
    <xf numFmtId="0" fontId="5" fillId="2" borderId="9" xfId="0" applyFont="1" applyFill="1" applyBorder="1" applyAlignment="1">
      <alignment horizontal="left" vertical="center"/>
    </xf>
    <xf numFmtId="0" fontId="5" fillId="2" borderId="8" xfId="0" applyFont="1" applyFill="1" applyBorder="1" applyAlignment="1">
      <alignment horizontal="left" vertical="center"/>
    </xf>
    <xf numFmtId="0" fontId="5" fillId="2" borderId="13" xfId="0" applyFont="1" applyFill="1" applyBorder="1" applyAlignment="1">
      <alignment horizontal="left" vertical="center"/>
    </xf>
    <xf numFmtId="0" fontId="20" fillId="0" borderId="21" xfId="0" applyFont="1" applyBorder="1" applyAlignment="1">
      <alignment horizontal="center" vertical="center"/>
    </xf>
    <xf numFmtId="0" fontId="20" fillId="0" borderId="23" xfId="0" applyFont="1" applyBorder="1" applyAlignment="1">
      <alignment horizontal="center" vertical="center"/>
    </xf>
    <xf numFmtId="0" fontId="8" fillId="0" borderId="2" xfId="0" applyFont="1" applyBorder="1" applyAlignment="1">
      <alignment horizontal="center" vertical="center"/>
    </xf>
    <xf numFmtId="0" fontId="22" fillId="6" borderId="3" xfId="2" applyFill="1" applyBorder="1" applyAlignment="1" applyProtection="1">
      <alignment horizontal="center" vertical="center" wrapText="1"/>
      <protection locked="0"/>
    </xf>
    <xf numFmtId="0" fontId="22" fillId="6" borderId="4" xfId="3" applyFill="1" applyBorder="1" applyAlignment="1" applyProtection="1">
      <alignment horizontal="center" vertical="center" wrapText="1"/>
      <protection locked="0"/>
    </xf>
    <xf numFmtId="0" fontId="22" fillId="6" borderId="5" xfId="3" applyFill="1" applyBorder="1" applyAlignment="1" applyProtection="1">
      <alignment horizontal="center" vertical="center" wrapText="1"/>
      <protection locked="0"/>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8" fillId="0" borderId="0" xfId="0" applyFont="1" applyAlignment="1">
      <alignment horizontal="center" vertical="center"/>
    </xf>
    <xf numFmtId="0" fontId="5" fillId="2" borderId="3"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5" xfId="0" applyFont="1" applyFill="1" applyBorder="1" applyAlignment="1">
      <alignment horizontal="center" vertical="center"/>
    </xf>
    <xf numFmtId="0" fontId="8" fillId="0" borderId="3" xfId="0" applyFont="1" applyBorder="1" applyAlignment="1" applyProtection="1">
      <alignment horizontal="center" vertical="top" wrapText="1"/>
      <protection locked="0"/>
    </xf>
    <xf numFmtId="0" fontId="8" fillId="0" borderId="4" xfId="0" applyFont="1" applyBorder="1" applyAlignment="1" applyProtection="1">
      <alignment horizontal="center" vertical="top" wrapText="1"/>
      <protection locked="0"/>
    </xf>
    <xf numFmtId="0" fontId="8" fillId="0" borderId="5" xfId="0" applyFont="1" applyBorder="1" applyAlignment="1" applyProtection="1">
      <alignment horizontal="center" vertical="top" wrapText="1"/>
      <protection locked="0"/>
    </xf>
    <xf numFmtId="0" fontId="15" fillId="0" borderId="2" xfId="0" applyFont="1" applyBorder="1" applyAlignment="1" applyProtection="1">
      <alignment horizontal="center" vertical="center"/>
      <protection locked="0"/>
    </xf>
    <xf numFmtId="0" fontId="8" fillId="0" borderId="24" xfId="0" applyFont="1" applyBorder="1" applyAlignment="1" applyProtection="1">
      <alignment horizontal="center" vertical="center"/>
      <protection locked="0"/>
    </xf>
    <xf numFmtId="0" fontId="8" fillId="0" borderId="25" xfId="0" applyFont="1" applyBorder="1" applyAlignment="1" applyProtection="1">
      <alignment horizontal="center" vertical="center"/>
      <protection locked="0"/>
    </xf>
    <xf numFmtId="0" fontId="8" fillId="0" borderId="26" xfId="0" applyFont="1" applyBorder="1" applyAlignment="1" applyProtection="1">
      <alignment horizontal="center" vertical="center"/>
      <protection locked="0"/>
    </xf>
    <xf numFmtId="0" fontId="8" fillId="0" borderId="6" xfId="0" applyFont="1" applyBorder="1" applyAlignment="1" applyProtection="1">
      <alignment horizontal="center" vertical="center"/>
      <protection locked="0"/>
    </xf>
    <xf numFmtId="0" fontId="8" fillId="0" borderId="0" xfId="0" applyFont="1" applyAlignment="1" applyProtection="1">
      <alignment horizontal="center" vertical="center"/>
      <protection locked="0"/>
    </xf>
    <xf numFmtId="0" fontId="8" fillId="0" borderId="7" xfId="0" applyFont="1" applyBorder="1" applyAlignment="1" applyProtection="1">
      <alignment horizontal="center" vertical="center"/>
      <protection locked="0"/>
    </xf>
    <xf numFmtId="0" fontId="8" fillId="0" borderId="10" xfId="0" applyFont="1" applyBorder="1" applyAlignment="1" applyProtection="1">
      <alignment horizontal="center" vertical="center"/>
      <protection locked="0"/>
    </xf>
    <xf numFmtId="0" fontId="8" fillId="0" borderId="11" xfId="0" applyFont="1" applyBorder="1" applyAlignment="1" applyProtection="1">
      <alignment horizontal="center" vertical="center"/>
      <protection locked="0"/>
    </xf>
    <xf numFmtId="0" fontId="8" fillId="0" borderId="12" xfId="0" applyFont="1" applyBorder="1" applyAlignment="1" applyProtection="1">
      <alignment horizontal="center" vertical="center"/>
      <protection locked="0"/>
    </xf>
    <xf numFmtId="0" fontId="8" fillId="0" borderId="2" xfId="0" applyFont="1" applyBorder="1" applyAlignment="1">
      <alignment horizontal="center" vertical="center" wrapText="1"/>
    </xf>
  </cellXfs>
  <cellStyles count="4">
    <cellStyle name="Hipervínculo" xfId="2" builtinId="8"/>
    <cellStyle name="Hyperlink" xfId="3" xr:uid="{00000000-000B-0000-0000-000008000000}"/>
    <cellStyle name="Normal" xfId="0" builtinId="0"/>
    <cellStyle name="Porcentaje" xfId="1" builtinId="5"/>
  </cellStyles>
  <dxfs count="12">
    <dxf>
      <fill>
        <patternFill>
          <bgColor rgb="FFC00000"/>
        </patternFill>
      </fill>
    </dxf>
    <dxf>
      <fill>
        <patternFill>
          <bgColor theme="9" tint="-0.24994659260841701"/>
        </patternFill>
      </fill>
    </dxf>
    <dxf>
      <fill>
        <patternFill>
          <bgColor theme="2" tint="-0.24994659260841701"/>
        </patternFill>
      </fill>
    </dxf>
    <dxf>
      <fill>
        <patternFill>
          <bgColor rgb="FFC00000"/>
        </patternFill>
      </fill>
    </dxf>
    <dxf>
      <fill>
        <patternFill>
          <bgColor theme="9" tint="-0.24994659260841701"/>
        </patternFill>
      </fill>
    </dxf>
    <dxf>
      <fill>
        <patternFill>
          <bgColor theme="2" tint="-0.24994659260841701"/>
        </patternFill>
      </fill>
    </dxf>
    <dxf>
      <fill>
        <patternFill>
          <bgColor rgb="FFC00000"/>
        </patternFill>
      </fill>
    </dxf>
    <dxf>
      <fill>
        <patternFill>
          <bgColor theme="9" tint="-0.24994659260841701"/>
        </patternFill>
      </fill>
    </dxf>
    <dxf>
      <fill>
        <patternFill>
          <bgColor theme="2" tint="-0.24994659260841701"/>
        </patternFill>
      </fill>
    </dxf>
    <dxf>
      <fill>
        <patternFill>
          <bgColor rgb="FFC00000"/>
        </patternFill>
      </fill>
    </dxf>
    <dxf>
      <fill>
        <patternFill>
          <bgColor theme="9" tint="-0.24994659260841701"/>
        </patternFill>
      </fill>
    </dxf>
    <dxf>
      <fill>
        <patternFill>
          <bgColor theme="2" tint="-0.24994659260841701"/>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0</xdr:colOff>
      <xdr:row>5</xdr:row>
      <xdr:rowOff>181427</xdr:rowOff>
    </xdr:to>
    <xdr:sp macro="" textlink="">
      <xdr:nvSpPr>
        <xdr:cNvPr id="2" name="Rectángulo 1">
          <a:extLst>
            <a:ext uri="{FF2B5EF4-FFF2-40B4-BE49-F238E27FC236}">
              <a16:creationId xmlns:a16="http://schemas.microsoft.com/office/drawing/2014/main" id="{C6B546E2-B5A8-4430-834A-8A178C95AD3E}"/>
            </a:ext>
          </a:extLst>
        </xdr:cNvPr>
        <xdr:cNvSpPr/>
      </xdr:nvSpPr>
      <xdr:spPr>
        <a:xfrm>
          <a:off x="0" y="0"/>
          <a:ext cx="12052300" cy="1102177"/>
        </a:xfrm>
        <a:prstGeom prst="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449580" algn="ctr">
            <a:lnSpc>
              <a:spcPct val="107000"/>
            </a:lnSpc>
            <a:spcAft>
              <a:spcPts val="800"/>
            </a:spcAft>
          </a:pPr>
          <a:r>
            <a:rPr lang="es-MX" sz="2400" b="1">
              <a:effectLst/>
              <a:ea typeface="Calibri" panose="020F0502020204030204" pitchFamily="34" charset="0"/>
              <a:cs typeface="Times New Roman" panose="02020603050405020304" pitchFamily="18" charset="0"/>
            </a:rPr>
            <a:t>REQUEST FOR CHANGE - EVALUACIÓN RIESGO </a:t>
          </a:r>
        </a:p>
      </xdr:txBody>
    </xdr:sp>
    <xdr:clientData/>
  </xdr:twoCellAnchor>
  <xdr:twoCellAnchor editAs="oneCell">
    <xdr:from>
      <xdr:col>0</xdr:col>
      <xdr:colOff>417284</xdr:colOff>
      <xdr:row>1</xdr:row>
      <xdr:rowOff>117928</xdr:rowOff>
    </xdr:from>
    <xdr:to>
      <xdr:col>1</xdr:col>
      <xdr:colOff>715951</xdr:colOff>
      <xdr:row>4</xdr:row>
      <xdr:rowOff>28484</xdr:rowOff>
    </xdr:to>
    <xdr:pic>
      <xdr:nvPicPr>
        <xdr:cNvPr id="3" name="Imagen 2" descr="Imagen que contiene dibujo&#10;&#10;Descripción generada automáticamente">
          <a:extLst>
            <a:ext uri="{FF2B5EF4-FFF2-40B4-BE49-F238E27FC236}">
              <a16:creationId xmlns:a16="http://schemas.microsoft.com/office/drawing/2014/main" id="{71208F06-7C4D-4766-AE18-1702FF7E66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7284" y="302078"/>
          <a:ext cx="1922997" cy="461736"/>
        </a:xfrm>
        <a:prstGeom prst="rect">
          <a:avLst/>
        </a:prstGeom>
      </xdr:spPr>
    </xdr:pic>
    <xdr:clientData/>
  </xdr:twoCellAnchor>
  <xdr:twoCellAnchor>
    <xdr:from>
      <xdr:col>0</xdr:col>
      <xdr:colOff>36286</xdr:colOff>
      <xdr:row>17</xdr:row>
      <xdr:rowOff>108857</xdr:rowOff>
    </xdr:from>
    <xdr:to>
      <xdr:col>12</xdr:col>
      <xdr:colOff>0</xdr:colOff>
      <xdr:row>24</xdr:row>
      <xdr:rowOff>99786</xdr:rowOff>
    </xdr:to>
    <xdr:sp macro="" textlink="">
      <xdr:nvSpPr>
        <xdr:cNvPr id="5" name="CuadroTexto 4">
          <a:extLst>
            <a:ext uri="{FF2B5EF4-FFF2-40B4-BE49-F238E27FC236}">
              <a16:creationId xmlns:a16="http://schemas.microsoft.com/office/drawing/2014/main" id="{8B826503-73D1-4268-ADA5-6E18789087D7}"/>
            </a:ext>
          </a:extLst>
        </xdr:cNvPr>
        <xdr:cNvSpPr txBox="1"/>
      </xdr:nvSpPr>
      <xdr:spPr>
        <a:xfrm>
          <a:off x="36286" y="2848428"/>
          <a:ext cx="12036184" cy="879929"/>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1"/>
            <a:t>Instrucciones</a:t>
          </a:r>
          <a:r>
            <a:rPr lang="es-MX" sz="1100" b="1" baseline="0"/>
            <a:t> para llenar el custionario.</a:t>
          </a:r>
        </a:p>
        <a:p>
          <a:r>
            <a:rPr lang="es-MX" sz="1100" b="0"/>
            <a:t>Asegúrate de proporcionar respuestas claras y específicas a cada pregunta del cuestionario, teniendo en cuenta cómo cada cambio podría afectar directamente la operación de Macropay. En caso de duda respecto a alguna pregunta, no dudes en consultar con los responsables pertinentes para obtener la información necesaria y garantizar la precisión de tus respuestas. Antes de enviar el formulario, revisa detenidamente todas tus respuestas para asegurarte de que estén completas y exactas.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29626</xdr:colOff>
      <xdr:row>6</xdr:row>
      <xdr:rowOff>149265</xdr:rowOff>
    </xdr:to>
    <xdr:sp macro="" textlink="">
      <xdr:nvSpPr>
        <xdr:cNvPr id="2" name="Rectángulo 1">
          <a:extLst>
            <a:ext uri="{FF2B5EF4-FFF2-40B4-BE49-F238E27FC236}">
              <a16:creationId xmlns:a16="http://schemas.microsoft.com/office/drawing/2014/main" id="{089D94B8-F11D-4EAB-7674-37735E9D5E71}"/>
            </a:ext>
          </a:extLst>
        </xdr:cNvPr>
        <xdr:cNvSpPr/>
      </xdr:nvSpPr>
      <xdr:spPr>
        <a:xfrm>
          <a:off x="0" y="0"/>
          <a:ext cx="17278535" cy="1188356"/>
        </a:xfrm>
        <a:prstGeom prst="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449580" algn="ctr">
            <a:lnSpc>
              <a:spcPct val="107000"/>
            </a:lnSpc>
            <a:spcAft>
              <a:spcPts val="800"/>
            </a:spcAft>
          </a:pPr>
          <a:r>
            <a:rPr lang="es-MX" sz="2400" b="1">
              <a:effectLst/>
              <a:ea typeface="Calibri" panose="020F0502020204030204" pitchFamily="34" charset="0"/>
              <a:cs typeface="Times New Roman" panose="02020603050405020304" pitchFamily="18" charset="0"/>
            </a:rPr>
            <a:t>REQUEST FOR CHANGE </a:t>
          </a:r>
        </a:p>
      </xdr:txBody>
    </xdr:sp>
    <xdr:clientData/>
  </xdr:twoCellAnchor>
  <xdr:twoCellAnchor editAs="oneCell">
    <xdr:from>
      <xdr:col>0</xdr:col>
      <xdr:colOff>417283</xdr:colOff>
      <xdr:row>1</xdr:row>
      <xdr:rowOff>122546</xdr:rowOff>
    </xdr:from>
    <xdr:to>
      <xdr:col>1</xdr:col>
      <xdr:colOff>94804</xdr:colOff>
      <xdr:row>4</xdr:row>
      <xdr:rowOff>92857</xdr:rowOff>
    </xdr:to>
    <xdr:pic>
      <xdr:nvPicPr>
        <xdr:cNvPr id="3" name="Imagen 2" descr="Imagen que contiene dibujo&#10;&#10;Descripción generada automáticamente">
          <a:extLst>
            <a:ext uri="{FF2B5EF4-FFF2-40B4-BE49-F238E27FC236}">
              <a16:creationId xmlns:a16="http://schemas.microsoft.com/office/drawing/2014/main" id="{BD4B1B9B-915E-D606-A956-D0CF405656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7283" y="295728"/>
          <a:ext cx="1922996" cy="449035"/>
        </a:xfrm>
        <a:prstGeom prst="rect">
          <a:avLst/>
        </a:prstGeom>
      </xdr:spPr>
    </xdr:pic>
    <xdr:clientData/>
  </xdr:twoCellAnchor>
  <xdr:twoCellAnchor>
    <xdr:from>
      <xdr:col>0</xdr:col>
      <xdr:colOff>469756</xdr:colOff>
      <xdr:row>74</xdr:row>
      <xdr:rowOff>65605</xdr:rowOff>
    </xdr:from>
    <xdr:to>
      <xdr:col>14</xdr:col>
      <xdr:colOff>420771</xdr:colOff>
      <xdr:row>83</xdr:row>
      <xdr:rowOff>92488</xdr:rowOff>
    </xdr:to>
    <xdr:sp macro="" textlink="">
      <xdr:nvSpPr>
        <xdr:cNvPr id="6" name="CuadroTexto 3">
          <a:extLst>
            <a:ext uri="{FF2B5EF4-FFF2-40B4-BE49-F238E27FC236}">
              <a16:creationId xmlns:a16="http://schemas.microsoft.com/office/drawing/2014/main" id="{797ACA99-F243-E853-9492-6DBE597A5B6E}"/>
            </a:ext>
            <a:ext uri="{147F2762-F138-4A5C-976F-8EAC2B608ADB}">
              <a16:predDERef xmlns:a16="http://schemas.microsoft.com/office/drawing/2014/main" pred="{BD4B1B9B-915E-D606-A956-D0CF4056560C}"/>
            </a:ext>
          </a:extLst>
        </xdr:cNvPr>
        <xdr:cNvSpPr txBox="1"/>
      </xdr:nvSpPr>
      <xdr:spPr>
        <a:xfrm>
          <a:off x="469756" y="29831230"/>
          <a:ext cx="18381890" cy="1484208"/>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1"/>
            <a:t>1. Scripts para administración de bases de datos: </a:t>
          </a:r>
          <a:r>
            <a:rPr lang="es-MX" sz="1100" b="0"/>
            <a:t>Asegúrate de incluir la instrucción "USE" en los scripts que entregues al equipo de administración de bases de datos. Esto ayuda a especificar la base de datos en la que se deben aplicar los cambios correctamente.</a:t>
          </a:r>
        </a:p>
        <a:p>
          <a:r>
            <a:rPr lang="es-MX" sz="1100" b="1"/>
            <a:t>2. Plazos para solicitudes de cambios: </a:t>
          </a:r>
          <a:r>
            <a:rPr lang="es-MX" sz="1100" b="0"/>
            <a:t>Por favor, ten en cuenta que no se aceptarán solicitudes de cambios dos días antes del día 15 de cada mes ni en el cierre de mes. Esto nos permite garantizar la estabilidad y seguridad de los sistemas durante períodos críticos.</a:t>
          </a:r>
        </a:p>
        <a:p>
          <a:r>
            <a:rPr lang="es-MX" sz="1100" b="1"/>
            <a:t>3. Validación de RFCs: </a:t>
          </a:r>
          <a:r>
            <a:rPr lang="es-MX" sz="1100" b="0"/>
            <a:t>Todos los RFCs (Request for Change) deben ser validados previamente por el comité correspondiente antes de su implementación. Esto asegura que se haya evaluado adecuadamente el impacto y los riesgos asociados con el cambio propuesto.</a:t>
          </a:r>
        </a:p>
        <a:p>
          <a:r>
            <a:rPr lang="es-MX" sz="1100" b="1"/>
            <a:t>4. Cumplimiento con el documento establecido</a:t>
          </a:r>
          <a:r>
            <a:rPr lang="es-MX" sz="1100" b="0"/>
            <a:t>:</a:t>
          </a:r>
          <a:r>
            <a:rPr lang="es-MX" sz="1100" b="0" baseline="0"/>
            <a:t> </a:t>
          </a:r>
          <a:r>
            <a:rPr lang="es-MX" sz="1100" b="0"/>
            <a:t>Es importante que cualquier script, servicio o paso adicional esté alineado con el documento establecido. Si algún elemento no está contemplado en el documento, no se tomará en cuenta y se procederá al rollback del cambio.</a:t>
          </a:r>
        </a:p>
        <a:p>
          <a:r>
            <a:rPr lang="es-MX" sz="1100" b="1"/>
            <a:t>5. Numeración y organización de scripts: </a:t>
          </a:r>
          <a:r>
            <a:rPr lang="es-MX" sz="1100" b="0"/>
            <a:t>Los scripts deben estar numerados en el orden en que deben ser aplicados. Si hay más de 10 scripts, asegúrate de organizarlos en una carpeta para facilitar su gestión y seguimiento. Esto garantiza una implementación ordenada y sin errores.</a:t>
          </a:r>
        </a:p>
      </xdr:txBody>
    </xdr:sp>
    <xdr:clientData/>
  </xdr:twoCellAnchor>
  <xdr:twoCellAnchor>
    <xdr:from>
      <xdr:col>14</xdr:col>
      <xdr:colOff>710092</xdr:colOff>
      <xdr:row>29</xdr:row>
      <xdr:rowOff>241298</xdr:rowOff>
    </xdr:from>
    <xdr:to>
      <xdr:col>19</xdr:col>
      <xdr:colOff>718709</xdr:colOff>
      <xdr:row>32</xdr:row>
      <xdr:rowOff>108857</xdr:rowOff>
    </xdr:to>
    <xdr:sp macro="" textlink="">
      <xdr:nvSpPr>
        <xdr:cNvPr id="5" name="CuadroTexto 4">
          <a:extLst>
            <a:ext uri="{FF2B5EF4-FFF2-40B4-BE49-F238E27FC236}">
              <a16:creationId xmlns:a16="http://schemas.microsoft.com/office/drawing/2014/main" id="{90E37686-B0C1-4E5E-9D03-1BB51294329D}"/>
            </a:ext>
          </a:extLst>
        </xdr:cNvPr>
        <xdr:cNvSpPr txBox="1"/>
      </xdr:nvSpPr>
      <xdr:spPr>
        <a:xfrm>
          <a:off x="16671271" y="7738834"/>
          <a:ext cx="3818617" cy="792844"/>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1"/>
            <a:t>Nota: </a:t>
          </a:r>
        </a:p>
        <a:p>
          <a:r>
            <a:rPr lang="es-MX" sz="1100" b="1"/>
            <a:t>Esta sección será completada por el ejecutor del Delivery Manager</a:t>
          </a:r>
          <a:r>
            <a:rPr lang="es-MX" sz="1100" b="1" baseline="0"/>
            <a:t>.</a:t>
          </a:r>
          <a:endParaRPr lang="es-MX" sz="1100" b="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0</xdr:colOff>
      <xdr:row>5</xdr:row>
      <xdr:rowOff>181427</xdr:rowOff>
    </xdr:to>
    <xdr:sp macro="" textlink="">
      <xdr:nvSpPr>
        <xdr:cNvPr id="2" name="Rectángulo 1">
          <a:extLst>
            <a:ext uri="{FF2B5EF4-FFF2-40B4-BE49-F238E27FC236}">
              <a16:creationId xmlns:a16="http://schemas.microsoft.com/office/drawing/2014/main" id="{99ECE643-79F4-489F-A576-EB3DEE9A7E7E}"/>
            </a:ext>
          </a:extLst>
        </xdr:cNvPr>
        <xdr:cNvSpPr/>
      </xdr:nvSpPr>
      <xdr:spPr>
        <a:xfrm>
          <a:off x="0" y="0"/>
          <a:ext cx="12680950" cy="1102177"/>
        </a:xfrm>
        <a:prstGeom prst="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449580" algn="ctr">
            <a:lnSpc>
              <a:spcPct val="107000"/>
            </a:lnSpc>
            <a:spcAft>
              <a:spcPts val="800"/>
            </a:spcAft>
          </a:pPr>
          <a:r>
            <a:rPr lang="es-MX" sz="2400" b="1">
              <a:effectLst/>
              <a:ea typeface="Calibri" panose="020F0502020204030204" pitchFamily="34" charset="0"/>
              <a:cs typeface="Times New Roman" panose="02020603050405020304" pitchFamily="18" charset="0"/>
            </a:rPr>
            <a:t>REQUEST FOR CHANGE - HITOS DE VALIDACIÓN</a:t>
          </a:r>
        </a:p>
      </xdr:txBody>
    </xdr:sp>
    <xdr:clientData/>
  </xdr:twoCellAnchor>
  <xdr:twoCellAnchor editAs="oneCell">
    <xdr:from>
      <xdr:col>0</xdr:col>
      <xdr:colOff>417284</xdr:colOff>
      <xdr:row>1</xdr:row>
      <xdr:rowOff>117928</xdr:rowOff>
    </xdr:from>
    <xdr:to>
      <xdr:col>1</xdr:col>
      <xdr:colOff>276317</xdr:colOff>
      <xdr:row>4</xdr:row>
      <xdr:rowOff>27214</xdr:rowOff>
    </xdr:to>
    <xdr:pic>
      <xdr:nvPicPr>
        <xdr:cNvPr id="3" name="Imagen 2" descr="Imagen que contiene dibujo&#10;&#10;Descripción generada automáticamente">
          <a:extLst>
            <a:ext uri="{FF2B5EF4-FFF2-40B4-BE49-F238E27FC236}">
              <a16:creationId xmlns:a16="http://schemas.microsoft.com/office/drawing/2014/main" id="{8B815EE2-E64E-47D7-985B-94133D3476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7284" y="302078"/>
          <a:ext cx="1922997" cy="461736"/>
        </a:xfrm>
        <a:prstGeom prst="rect">
          <a:avLst/>
        </a:prstGeom>
      </xdr:spPr>
    </xdr:pic>
    <xdr:clientData/>
  </xdr:twoCellAnchor>
  <xdr:twoCellAnchor>
    <xdr:from>
      <xdr:col>0</xdr:col>
      <xdr:colOff>10432</xdr:colOff>
      <xdr:row>15</xdr:row>
      <xdr:rowOff>377290</xdr:rowOff>
    </xdr:from>
    <xdr:to>
      <xdr:col>13</xdr:col>
      <xdr:colOff>21978</xdr:colOff>
      <xdr:row>16</xdr:row>
      <xdr:rowOff>292126</xdr:rowOff>
    </xdr:to>
    <xdr:sp macro="" textlink="">
      <xdr:nvSpPr>
        <xdr:cNvPr id="5" name="CuadroTexto 4">
          <a:extLst>
            <a:ext uri="{FF2B5EF4-FFF2-40B4-BE49-F238E27FC236}">
              <a16:creationId xmlns:a16="http://schemas.microsoft.com/office/drawing/2014/main" id="{40CB4A69-E608-49F2-BCE7-A437F3C4FD4E}"/>
            </a:ext>
          </a:extLst>
        </xdr:cNvPr>
        <xdr:cNvSpPr txBox="1"/>
      </xdr:nvSpPr>
      <xdr:spPr>
        <a:xfrm>
          <a:off x="10432" y="4663540"/>
          <a:ext cx="14788903" cy="295836"/>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1"/>
            <a:t>1.  </a:t>
          </a:r>
          <a:r>
            <a:rPr lang="es-MX" sz="1100" b="0" i="0">
              <a:solidFill>
                <a:schemeClr val="dk1"/>
              </a:solidFill>
              <a:effectLst/>
              <a:latin typeface="+mn-lt"/>
              <a:ea typeface="+mn-ea"/>
              <a:cs typeface="+mn-cs"/>
            </a:rPr>
            <a:t>Cada hito debe ser claramente definido y representar un paso significativo en el progreso hacia la finalización exitosa del despliegue.</a:t>
          </a:r>
          <a:endParaRPr lang="es-MX" sz="1100" b="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0</xdr:colOff>
      <xdr:row>5</xdr:row>
      <xdr:rowOff>181427</xdr:rowOff>
    </xdr:to>
    <xdr:sp macro="" textlink="">
      <xdr:nvSpPr>
        <xdr:cNvPr id="2" name="Rectángulo 1">
          <a:extLst>
            <a:ext uri="{FF2B5EF4-FFF2-40B4-BE49-F238E27FC236}">
              <a16:creationId xmlns:a16="http://schemas.microsoft.com/office/drawing/2014/main" id="{D2D894E3-99A7-47C2-A114-B6D25BA79A32}"/>
            </a:ext>
          </a:extLst>
        </xdr:cNvPr>
        <xdr:cNvSpPr/>
      </xdr:nvSpPr>
      <xdr:spPr>
        <a:xfrm>
          <a:off x="0" y="0"/>
          <a:ext cx="12801600" cy="1102177"/>
        </a:xfrm>
        <a:prstGeom prst="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449580" algn="ctr">
            <a:lnSpc>
              <a:spcPct val="107000"/>
            </a:lnSpc>
            <a:spcAft>
              <a:spcPts val="800"/>
            </a:spcAft>
          </a:pPr>
          <a:r>
            <a:rPr lang="es-MX" sz="2400" b="1">
              <a:effectLst/>
              <a:ea typeface="Calibri" panose="020F0502020204030204" pitchFamily="34" charset="0"/>
              <a:cs typeface="Times New Roman" panose="02020603050405020304" pitchFamily="18" charset="0"/>
            </a:rPr>
            <a:t>REQUEST FOR CHANGE - INFRA Y DEVOPS</a:t>
          </a:r>
        </a:p>
      </xdr:txBody>
    </xdr:sp>
    <xdr:clientData/>
  </xdr:twoCellAnchor>
  <xdr:twoCellAnchor editAs="oneCell">
    <xdr:from>
      <xdr:col>0</xdr:col>
      <xdr:colOff>417284</xdr:colOff>
      <xdr:row>1</xdr:row>
      <xdr:rowOff>117928</xdr:rowOff>
    </xdr:from>
    <xdr:to>
      <xdr:col>1</xdr:col>
      <xdr:colOff>54463</xdr:colOff>
      <xdr:row>4</xdr:row>
      <xdr:rowOff>17689</xdr:rowOff>
    </xdr:to>
    <xdr:pic>
      <xdr:nvPicPr>
        <xdr:cNvPr id="3" name="Imagen 2" descr="Imagen que contiene dibujo&#10;&#10;Descripción generada automáticamente">
          <a:extLst>
            <a:ext uri="{FF2B5EF4-FFF2-40B4-BE49-F238E27FC236}">
              <a16:creationId xmlns:a16="http://schemas.microsoft.com/office/drawing/2014/main" id="{68E74C3F-9FCB-4E37-B515-B0F9BCB540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7284" y="302078"/>
          <a:ext cx="1922997" cy="46173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739588</xdr:colOff>
      <xdr:row>5</xdr:row>
      <xdr:rowOff>178252</xdr:rowOff>
    </xdr:to>
    <xdr:sp macro="" textlink="">
      <xdr:nvSpPr>
        <xdr:cNvPr id="2" name="Rectángulo 1">
          <a:extLst>
            <a:ext uri="{FF2B5EF4-FFF2-40B4-BE49-F238E27FC236}">
              <a16:creationId xmlns:a16="http://schemas.microsoft.com/office/drawing/2014/main" id="{A532FA5A-7DA8-479E-BBED-904FBCB0DC88}"/>
            </a:ext>
          </a:extLst>
        </xdr:cNvPr>
        <xdr:cNvSpPr/>
      </xdr:nvSpPr>
      <xdr:spPr>
        <a:xfrm>
          <a:off x="0" y="0"/>
          <a:ext cx="16360588" cy="1074723"/>
        </a:xfrm>
        <a:prstGeom prst="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449580" algn="ctr">
            <a:lnSpc>
              <a:spcPct val="107000"/>
            </a:lnSpc>
            <a:spcAft>
              <a:spcPts val="800"/>
            </a:spcAft>
          </a:pPr>
          <a:r>
            <a:rPr lang="es-MX" sz="2400" b="1">
              <a:effectLst/>
              <a:ea typeface="Calibri" panose="020F0502020204030204" pitchFamily="34" charset="0"/>
              <a:cs typeface="Times New Roman" panose="02020603050405020304" pitchFamily="18" charset="0"/>
            </a:rPr>
            <a:t>REQUEST FOR CHANGE - ACTIVIDADES DE VALIDACIÓN</a:t>
          </a:r>
        </a:p>
      </xdr:txBody>
    </xdr:sp>
    <xdr:clientData/>
  </xdr:twoCellAnchor>
  <xdr:twoCellAnchor editAs="oneCell">
    <xdr:from>
      <xdr:col>0</xdr:col>
      <xdr:colOff>417284</xdr:colOff>
      <xdr:row>1</xdr:row>
      <xdr:rowOff>117928</xdr:rowOff>
    </xdr:from>
    <xdr:to>
      <xdr:col>1</xdr:col>
      <xdr:colOff>363617</xdr:colOff>
      <xdr:row>4</xdr:row>
      <xdr:rowOff>27214</xdr:rowOff>
    </xdr:to>
    <xdr:pic>
      <xdr:nvPicPr>
        <xdr:cNvPr id="3" name="Imagen 2" descr="Imagen que contiene dibujo&#10;&#10;Descripción generada automáticamente">
          <a:extLst>
            <a:ext uri="{FF2B5EF4-FFF2-40B4-BE49-F238E27FC236}">
              <a16:creationId xmlns:a16="http://schemas.microsoft.com/office/drawing/2014/main" id="{1690280D-053F-4D6A-AD6D-6FA9C18A05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7284" y="302078"/>
          <a:ext cx="1922997" cy="461736"/>
        </a:xfrm>
        <a:prstGeom prst="rect">
          <a:avLst/>
        </a:prstGeom>
      </xdr:spPr>
    </xdr:pic>
    <xdr:clientData/>
  </xdr:twoCellAnchor>
  <xdr:twoCellAnchor>
    <xdr:from>
      <xdr:col>0</xdr:col>
      <xdr:colOff>11206</xdr:colOff>
      <xdr:row>28</xdr:row>
      <xdr:rowOff>-1</xdr:rowOff>
    </xdr:from>
    <xdr:to>
      <xdr:col>12</xdr:col>
      <xdr:colOff>19577</xdr:colOff>
      <xdr:row>37</xdr:row>
      <xdr:rowOff>163328</xdr:rowOff>
    </xdr:to>
    <xdr:sp macro="" textlink="">
      <xdr:nvSpPr>
        <xdr:cNvPr id="4" name="CuadroTexto 3">
          <a:extLst>
            <a:ext uri="{FF2B5EF4-FFF2-40B4-BE49-F238E27FC236}">
              <a16:creationId xmlns:a16="http://schemas.microsoft.com/office/drawing/2014/main" id="{5540420E-7C0D-45BB-B6BF-A36EB656939F}"/>
            </a:ext>
          </a:extLst>
        </xdr:cNvPr>
        <xdr:cNvSpPr txBox="1"/>
      </xdr:nvSpPr>
      <xdr:spPr>
        <a:xfrm>
          <a:off x="11206" y="4616823"/>
          <a:ext cx="11819371" cy="1776976"/>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1"/>
            <a:t>1. Scripts para administración de bases de datos: </a:t>
          </a:r>
          <a:r>
            <a:rPr lang="es-MX" sz="1100" b="0"/>
            <a:t>Asegúrate de incluir la instrucción "USE" en los scripts que entregues al equipo de administración de bases de datos. Esto ayuda a especificar la base de datos en la que se deben aplicar los cambios correctamente.</a:t>
          </a:r>
        </a:p>
        <a:p>
          <a:r>
            <a:rPr lang="es-MX" sz="1100" b="1"/>
            <a:t>2. Plazos para solicitudes de cambios: </a:t>
          </a:r>
          <a:r>
            <a:rPr lang="es-MX" sz="1100" b="0"/>
            <a:t>Por favor, ten en cuenta que no se aceptarán solicitudes de cambios dos días antes del día 15 de cada mes ni en el cierre de mes. Esto nos permite garantizar la estabilidad y seguridad de los sistemas durante períodos críticos.</a:t>
          </a:r>
        </a:p>
        <a:p>
          <a:r>
            <a:rPr lang="es-MX" sz="1100" b="1"/>
            <a:t>3. Validación de RFCs: </a:t>
          </a:r>
          <a:r>
            <a:rPr lang="es-MX" sz="1100" b="0"/>
            <a:t>Todos los RFCs (Request for Change) deben ser validados previamente por el comité correspondiente antes de su implementación. Esto asegura que se haya evaluado adecuadamente el impacto y los riesgos asociados con el cambio propuesto.</a:t>
          </a:r>
        </a:p>
        <a:p>
          <a:r>
            <a:rPr lang="es-MX" sz="1100" b="1"/>
            <a:t>4. Cumplimiento con el documento establecido</a:t>
          </a:r>
          <a:r>
            <a:rPr lang="es-MX" sz="1100" b="0"/>
            <a:t>:</a:t>
          </a:r>
          <a:r>
            <a:rPr lang="es-MX" sz="1100" b="0" baseline="0"/>
            <a:t> </a:t>
          </a:r>
          <a:r>
            <a:rPr lang="es-MX" sz="1100" b="0"/>
            <a:t>Es importante que cualquier script, servicio o paso adicional esté alineado con el documento establecido. Si algún elemento no está contemplado en el documento, no se tomará en cuenta y se procederá al rollback del cambio.</a:t>
          </a:r>
        </a:p>
        <a:p>
          <a:r>
            <a:rPr lang="es-MX" sz="1100" b="1"/>
            <a:t>5. Numeración y organización de scripts: </a:t>
          </a:r>
          <a:r>
            <a:rPr lang="es-MX" sz="1100" b="0"/>
            <a:t>Los scripts deben estar numerados en el orden en que deben ser aplicados. Si hay más de 10 scripts, asegúrate de organizarlos en una carpeta para facilitar su gestión y seguimiento. Esto garantiza una implementación ordenada y sin errores.</a:t>
          </a:r>
        </a:p>
      </xdr:txBody>
    </xdr:sp>
    <xdr:clientData/>
  </xdr:twoCellAnchor>
  <xdr:twoCellAnchor>
    <xdr:from>
      <xdr:col>18</xdr:col>
      <xdr:colOff>147332</xdr:colOff>
      <xdr:row>8</xdr:row>
      <xdr:rowOff>84897</xdr:rowOff>
    </xdr:from>
    <xdr:to>
      <xdr:col>23</xdr:col>
      <xdr:colOff>155949</xdr:colOff>
      <xdr:row>11</xdr:row>
      <xdr:rowOff>86473</xdr:rowOff>
    </xdr:to>
    <xdr:sp macro="" textlink="">
      <xdr:nvSpPr>
        <xdr:cNvPr id="5" name="CuadroTexto 4">
          <a:extLst>
            <a:ext uri="{FF2B5EF4-FFF2-40B4-BE49-F238E27FC236}">
              <a16:creationId xmlns:a16="http://schemas.microsoft.com/office/drawing/2014/main" id="{6BDD674F-0AFF-440D-AA53-7C267E226FDF}"/>
            </a:ext>
          </a:extLst>
        </xdr:cNvPr>
        <xdr:cNvSpPr txBox="1"/>
      </xdr:nvSpPr>
      <xdr:spPr>
        <a:xfrm>
          <a:off x="16530332" y="1541662"/>
          <a:ext cx="3818617" cy="539458"/>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1"/>
            <a:t>Nota: Esta sección será completada por el ejecutor del Delivery Manager</a:t>
          </a:r>
          <a:r>
            <a:rPr lang="es-MX" sz="1100" b="1" baseline="0"/>
            <a:t>.</a:t>
          </a:r>
          <a:endParaRPr lang="es-MX" sz="1100" b="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11206</xdr:colOff>
      <xdr:row>5</xdr:row>
      <xdr:rowOff>178252</xdr:rowOff>
    </xdr:to>
    <xdr:sp macro="" textlink="">
      <xdr:nvSpPr>
        <xdr:cNvPr id="2" name="Rectángulo 1">
          <a:extLst>
            <a:ext uri="{FF2B5EF4-FFF2-40B4-BE49-F238E27FC236}">
              <a16:creationId xmlns:a16="http://schemas.microsoft.com/office/drawing/2014/main" id="{AF3107DC-63B7-4733-91B8-130825841925}"/>
            </a:ext>
          </a:extLst>
        </xdr:cNvPr>
        <xdr:cNvSpPr/>
      </xdr:nvSpPr>
      <xdr:spPr>
        <a:xfrm>
          <a:off x="0" y="0"/>
          <a:ext cx="16651941" cy="1074723"/>
        </a:xfrm>
        <a:prstGeom prst="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449580" algn="ctr">
            <a:lnSpc>
              <a:spcPct val="107000"/>
            </a:lnSpc>
            <a:spcAft>
              <a:spcPts val="800"/>
            </a:spcAft>
          </a:pPr>
          <a:r>
            <a:rPr lang="es-MX" sz="2400" b="1">
              <a:effectLst/>
              <a:ea typeface="Calibri" panose="020F0502020204030204" pitchFamily="34" charset="0"/>
              <a:cs typeface="Times New Roman" panose="02020603050405020304" pitchFamily="18" charset="0"/>
            </a:rPr>
            <a:t>REQUEST FOR CHANGE - ROLLBACK </a:t>
          </a:r>
        </a:p>
      </xdr:txBody>
    </xdr:sp>
    <xdr:clientData/>
  </xdr:twoCellAnchor>
  <xdr:twoCellAnchor editAs="oneCell">
    <xdr:from>
      <xdr:col>0</xdr:col>
      <xdr:colOff>417284</xdr:colOff>
      <xdr:row>1</xdr:row>
      <xdr:rowOff>117928</xdr:rowOff>
    </xdr:from>
    <xdr:to>
      <xdr:col>1</xdr:col>
      <xdr:colOff>206681</xdr:colOff>
      <xdr:row>4</xdr:row>
      <xdr:rowOff>21499</xdr:rowOff>
    </xdr:to>
    <xdr:pic>
      <xdr:nvPicPr>
        <xdr:cNvPr id="3" name="Imagen 2" descr="Imagen que contiene dibujo&#10;&#10;Descripción generada automáticamente">
          <a:extLst>
            <a:ext uri="{FF2B5EF4-FFF2-40B4-BE49-F238E27FC236}">
              <a16:creationId xmlns:a16="http://schemas.microsoft.com/office/drawing/2014/main" id="{4D6A97CF-4C84-47D2-9925-CB6604B403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7284" y="302078"/>
          <a:ext cx="1922997" cy="461736"/>
        </a:xfrm>
        <a:prstGeom prst="rect">
          <a:avLst/>
        </a:prstGeom>
      </xdr:spPr>
    </xdr:pic>
    <xdr:clientData/>
  </xdr:twoCellAnchor>
  <xdr:twoCellAnchor>
    <xdr:from>
      <xdr:col>0</xdr:col>
      <xdr:colOff>1</xdr:colOff>
      <xdr:row>59</xdr:row>
      <xdr:rowOff>74707</xdr:rowOff>
    </xdr:from>
    <xdr:to>
      <xdr:col>12</xdr:col>
      <xdr:colOff>1150471</xdr:colOff>
      <xdr:row>69</xdr:row>
      <xdr:rowOff>41304</xdr:rowOff>
    </xdr:to>
    <xdr:sp macro="" textlink="">
      <xdr:nvSpPr>
        <xdr:cNvPr id="5" name="CuadroTexto 4">
          <a:extLst>
            <a:ext uri="{FF2B5EF4-FFF2-40B4-BE49-F238E27FC236}">
              <a16:creationId xmlns:a16="http://schemas.microsoft.com/office/drawing/2014/main" id="{7B4B9A6A-1F7C-4FA9-BB5E-C864E874F5AC}"/>
            </a:ext>
          </a:extLst>
        </xdr:cNvPr>
        <xdr:cNvSpPr txBox="1"/>
      </xdr:nvSpPr>
      <xdr:spPr>
        <a:xfrm>
          <a:off x="1" y="9502589"/>
          <a:ext cx="11915588" cy="1834244"/>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1"/>
            <a:t>1. Scripts para administración de bases de datos: </a:t>
          </a:r>
          <a:r>
            <a:rPr lang="es-MX" sz="1100" b="0"/>
            <a:t>Asegúrate de incluir la instrucción "USE" en los scripts que entregues al equipo de administración de bases de datos. Esto ayuda a especificar la base de datos en la que se deben aplicar los cambios correctamente.</a:t>
          </a:r>
        </a:p>
        <a:p>
          <a:r>
            <a:rPr lang="es-MX" sz="1100" b="1"/>
            <a:t>2. Plazos para solicitudes de cambios: </a:t>
          </a:r>
          <a:r>
            <a:rPr lang="es-MX" sz="1100" b="0"/>
            <a:t>Por favor, ten en cuenta que no se aceptarán solicitudes de cambios dos días antes del día 15 de cada mes ni en el cierre de mes. Esto nos permite garantizar la estabilidad y seguridad de los sistemas durante períodos críticos.</a:t>
          </a:r>
        </a:p>
        <a:p>
          <a:r>
            <a:rPr lang="es-MX" sz="1100" b="1"/>
            <a:t>3. Validación de RFCs: </a:t>
          </a:r>
          <a:r>
            <a:rPr lang="es-MX" sz="1100" b="0"/>
            <a:t>Todos los RFCs (Request for Change) deben ser validados previamente por el comité correspondiente antes de su implementación. Esto asegura que se haya evaluado adecuadamente el impacto y los riesgos asociados con el cambio propuesto.</a:t>
          </a:r>
        </a:p>
        <a:p>
          <a:r>
            <a:rPr lang="es-MX" sz="1100" b="1"/>
            <a:t>4. Cumplimiento con el documento establecido</a:t>
          </a:r>
          <a:r>
            <a:rPr lang="es-MX" sz="1100" b="0"/>
            <a:t>:</a:t>
          </a:r>
          <a:r>
            <a:rPr lang="es-MX" sz="1100" b="0" baseline="0"/>
            <a:t> </a:t>
          </a:r>
          <a:r>
            <a:rPr lang="es-MX" sz="1100" b="0"/>
            <a:t>Es importante que cualquier script, servicio o paso adicional esté alineado con el documento establecido. Si algún elemento no está contemplado en el documento, no se tomará en cuenta y se procederá al rollback del cambio.</a:t>
          </a:r>
        </a:p>
        <a:p>
          <a:r>
            <a:rPr lang="es-MX" sz="1100" b="1"/>
            <a:t>5. Numeración y organización de scripts: </a:t>
          </a:r>
          <a:r>
            <a:rPr lang="es-MX" sz="1100" b="0"/>
            <a:t>Los scripts deben estar numerados en el orden en que deben ser aplicados. Si hay más de 10 scripts, asegúrate de organizarlos en una carpeta para facilitar su gestión y seguimiento. Esto garantiza una implementación ordenada y sin errores.</a:t>
          </a:r>
        </a:p>
      </xdr:txBody>
    </xdr:sp>
    <xdr:clientData/>
  </xdr:twoCellAnchor>
  <xdr:twoCellAnchor>
    <xdr:from>
      <xdr:col>14</xdr:col>
      <xdr:colOff>1655</xdr:colOff>
      <xdr:row>24</xdr:row>
      <xdr:rowOff>112059</xdr:rowOff>
    </xdr:from>
    <xdr:to>
      <xdr:col>19</xdr:col>
      <xdr:colOff>7097</xdr:colOff>
      <xdr:row>31</xdr:row>
      <xdr:rowOff>145677</xdr:rowOff>
    </xdr:to>
    <xdr:sp macro="" textlink="">
      <xdr:nvSpPr>
        <xdr:cNvPr id="4" name="CuadroTexto 3">
          <a:extLst>
            <a:ext uri="{FF2B5EF4-FFF2-40B4-BE49-F238E27FC236}">
              <a16:creationId xmlns:a16="http://schemas.microsoft.com/office/drawing/2014/main" id="{FE8F416B-8942-44D9-AE8D-CACDB6031B07}"/>
            </a:ext>
          </a:extLst>
        </xdr:cNvPr>
        <xdr:cNvSpPr txBox="1"/>
      </xdr:nvSpPr>
      <xdr:spPr>
        <a:xfrm>
          <a:off x="12832390" y="4034118"/>
          <a:ext cx="3815442" cy="672353"/>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1"/>
            <a:t>Nota: </a:t>
          </a:r>
        </a:p>
        <a:p>
          <a:r>
            <a:rPr lang="es-MX" sz="1100" b="1"/>
            <a:t>Esta sección será completada por el ejecutor de Delivery Manager</a:t>
          </a:r>
          <a:r>
            <a:rPr lang="es-MX" sz="1100" b="1" baseline="0"/>
            <a:t>.</a:t>
          </a:r>
          <a:endParaRPr lang="es-MX" sz="1100" b="0"/>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pxprd.macropay.mx/" TargetMode="External"/><Relationship Id="rId1" Type="http://schemas.openxmlformats.org/officeDocument/2006/relationships/hyperlink" Target="https://pos-service-back-qa3.macropay.mx/"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https://github.com/MacropayTD/front-pf-payments" TargetMode="External"/><Relationship Id="rId13" Type="http://schemas.openxmlformats.org/officeDocument/2006/relationships/hyperlink" Target="https://github.com/MacropayTD/back-macropay-api-migracion" TargetMode="External"/><Relationship Id="rId18" Type="http://schemas.openxmlformats.org/officeDocument/2006/relationships/hyperlink" Target="https://pxprd.macropay.mx/" TargetMode="External"/><Relationship Id="rId3" Type="http://schemas.openxmlformats.org/officeDocument/2006/relationships/hyperlink" Target="https://github.com/MacropayTD/POS-service-front" TargetMode="External"/><Relationship Id="rId7" Type="http://schemas.openxmlformats.org/officeDocument/2006/relationships/hyperlink" Target="https://github.com/MacropayTD/front-pf-calculator" TargetMode="External"/><Relationship Id="rId12" Type="http://schemas.openxmlformats.org/officeDocument/2006/relationships/hyperlink" Target="https://github.com/MacropayTD/back-apiapp-apartadito" TargetMode="External"/><Relationship Id="rId17" Type="http://schemas.openxmlformats.org/officeDocument/2006/relationships/hyperlink" Target="https://github.com/MacropayTD/midd-pf-sales-summary" TargetMode="External"/><Relationship Id="rId2" Type="http://schemas.openxmlformats.org/officeDocument/2006/relationships/hyperlink" Target="https://github.com/MacropayTD/back-programa-lealtad-app" TargetMode="External"/><Relationship Id="rId16" Type="http://schemas.openxmlformats.org/officeDocument/2006/relationships/hyperlink" Target="https://github.com/MacropayTD/back-api-ticket-pos" TargetMode="External"/><Relationship Id="rId20" Type="http://schemas.openxmlformats.org/officeDocument/2006/relationships/drawing" Target="../drawings/drawing4.xml"/><Relationship Id="rId1" Type="http://schemas.openxmlformats.org/officeDocument/2006/relationships/hyperlink" Target="https://github.com/MacropayTD/POS-service-back" TargetMode="External"/><Relationship Id="rId6" Type="http://schemas.openxmlformats.org/officeDocument/2006/relationships/hyperlink" Target="https://github.com/MacropayTD/mcp-benefits-wallets-api" TargetMode="External"/><Relationship Id="rId11" Type="http://schemas.openxmlformats.org/officeDocument/2006/relationships/hyperlink" Target="https://club-macropay-qa3.macropay.mx/" TargetMode="External"/><Relationship Id="rId5" Type="http://schemas.openxmlformats.org/officeDocument/2006/relationships/hyperlink" Target="https://github.com/MacropayTD/api-infobip-chatbot" TargetMode="External"/><Relationship Id="rId15" Type="http://schemas.openxmlformats.org/officeDocument/2006/relationships/hyperlink" Target="https://github.com/MacropayTD/back-api-ticket-pos" TargetMode="External"/><Relationship Id="rId10" Type="http://schemas.openxmlformats.org/officeDocument/2006/relationships/hyperlink" Target="https://github.com/MacropayTD/midd-macropay-club" TargetMode="External"/><Relationship Id="rId19" Type="http://schemas.openxmlformats.org/officeDocument/2006/relationships/printerSettings" Target="../printerSettings/printerSettings4.bin"/><Relationship Id="rId4" Type="http://schemas.openxmlformats.org/officeDocument/2006/relationships/hyperlink" Target="https://github.com/MacropayTD/back-api-ec-lealtad" TargetMode="External"/><Relationship Id="rId9" Type="http://schemas.openxmlformats.org/officeDocument/2006/relationships/hyperlink" Target="https://github.com/MacropayTD/front-pf-payments" TargetMode="External"/><Relationship Id="rId14" Type="http://schemas.openxmlformats.org/officeDocument/2006/relationships/hyperlink" Target="https://github.com/MacropayTD/midd-pf-calculator"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FD41F-BEB2-4650-889B-6BC1C7BA2D83}">
  <dimension ref="A8:N43"/>
  <sheetViews>
    <sheetView showGridLines="0" topLeftCell="A9" zoomScale="85" zoomScaleNormal="85" zoomScalePageLayoutView="85" workbookViewId="0">
      <selection activeCell="B10" sqref="B10:D10"/>
    </sheetView>
  </sheetViews>
  <sheetFormatPr baseColWidth="10" defaultColWidth="10.83203125" defaultRowHeight="15" x14ac:dyDescent="0.2"/>
  <cols>
    <col min="1" max="1" width="23.5" style="18" customWidth="1"/>
    <col min="2" max="2" width="18.5" style="18" customWidth="1"/>
    <col min="3" max="3" width="10.83203125" style="18"/>
    <col min="4" max="4" width="20" style="18" customWidth="1"/>
    <col min="5" max="5" width="5.5" style="18" customWidth="1"/>
    <col min="6" max="6" width="22.1640625" style="18" customWidth="1"/>
    <col min="7" max="7" width="14.5" style="18" customWidth="1"/>
    <col min="8" max="8" width="10.5" style="18" customWidth="1"/>
    <col min="9" max="9" width="9.5" style="18" customWidth="1"/>
    <col min="10" max="10" width="6.5" style="18" customWidth="1"/>
    <col min="11" max="11" width="14.5" style="18" customWidth="1"/>
    <col min="12" max="12" width="17" style="18" customWidth="1"/>
    <col min="13" max="13" width="10.5" style="17" customWidth="1"/>
    <col min="14" max="14" width="10.83203125" style="17"/>
    <col min="15" max="16384" width="10.83203125" style="18"/>
  </cols>
  <sheetData>
    <row r="8" spans="1:14" ht="20" customHeight="1" x14ac:dyDescent="0.2">
      <c r="A8" s="30" t="s">
        <v>0</v>
      </c>
      <c r="B8" s="212" t="s">
        <v>1</v>
      </c>
      <c r="C8" s="213"/>
      <c r="D8" s="214"/>
      <c r="E8" s="31"/>
      <c r="F8" s="32" t="s">
        <v>2</v>
      </c>
      <c r="G8" s="215" t="s">
        <v>3</v>
      </c>
      <c r="H8" s="184"/>
      <c r="I8" s="204" t="s">
        <v>4</v>
      </c>
      <c r="J8" s="204"/>
      <c r="K8" s="204"/>
      <c r="L8" s="204"/>
    </row>
    <row r="9" spans="1:14" ht="98.25" customHeight="1" x14ac:dyDescent="0.2">
      <c r="A9" s="30" t="s">
        <v>5</v>
      </c>
      <c r="B9" s="212" t="s">
        <v>6</v>
      </c>
      <c r="C9" s="213"/>
      <c r="D9" s="214"/>
      <c r="E9" s="31"/>
      <c r="F9" s="103" t="s">
        <v>7</v>
      </c>
      <c r="G9" s="210" t="s">
        <v>8</v>
      </c>
      <c r="H9" s="211"/>
      <c r="I9" s="216"/>
      <c r="J9" s="217"/>
      <c r="K9" s="217"/>
      <c r="L9" s="218"/>
    </row>
    <row r="10" spans="1:14" ht="20" customHeight="1" x14ac:dyDescent="0.2">
      <c r="A10" s="30" t="s">
        <v>9</v>
      </c>
      <c r="B10" s="212" t="s">
        <v>10</v>
      </c>
      <c r="C10" s="213"/>
      <c r="D10" s="214"/>
      <c r="E10" s="33"/>
      <c r="F10" s="103" t="s">
        <v>11</v>
      </c>
      <c r="G10" s="197" t="s">
        <v>12</v>
      </c>
      <c r="H10" s="198"/>
      <c r="I10" s="219"/>
      <c r="J10" s="220"/>
      <c r="K10" s="220"/>
      <c r="L10" s="221"/>
    </row>
    <row r="11" spans="1:14" ht="33.75" customHeight="1" x14ac:dyDescent="0.2">
      <c r="A11" s="204" t="s">
        <v>13</v>
      </c>
      <c r="B11" s="35" t="s">
        <v>14</v>
      </c>
      <c r="C11" s="199" t="s">
        <v>15</v>
      </c>
      <c r="D11" s="199"/>
      <c r="E11" s="33"/>
      <c r="F11" s="103" t="s">
        <v>16</v>
      </c>
      <c r="G11" s="200" t="s">
        <v>17</v>
      </c>
      <c r="H11" s="201"/>
      <c r="I11" s="219"/>
      <c r="J11" s="220"/>
      <c r="K11" s="220"/>
      <c r="L11" s="221"/>
    </row>
    <row r="12" spans="1:14" ht="20" customHeight="1" x14ac:dyDescent="0.2">
      <c r="A12" s="205"/>
      <c r="B12" s="35" t="s">
        <v>18</v>
      </c>
      <c r="C12" s="199" t="s">
        <v>19</v>
      </c>
      <c r="D12" s="199"/>
      <c r="E12" s="33"/>
      <c r="F12" s="89"/>
      <c r="G12" s="207"/>
      <c r="H12" s="208"/>
      <c r="I12" s="219"/>
      <c r="J12" s="220"/>
      <c r="K12" s="220"/>
      <c r="L12" s="221"/>
    </row>
    <row r="13" spans="1:14" ht="20" customHeight="1" x14ac:dyDescent="0.2">
      <c r="A13" s="205"/>
      <c r="B13" s="35" t="s">
        <v>20</v>
      </c>
      <c r="C13" s="199" t="s">
        <v>21</v>
      </c>
      <c r="D13" s="199"/>
      <c r="E13" s="33"/>
      <c r="F13" s="94"/>
      <c r="G13" s="17"/>
      <c r="H13" s="17"/>
      <c r="I13" s="222"/>
      <c r="J13" s="223"/>
      <c r="K13" s="223"/>
      <c r="L13" s="224"/>
    </row>
    <row r="14" spans="1:14" ht="20" customHeight="1" thickBot="1" x14ac:dyDescent="0.25">
      <c r="A14" s="206"/>
      <c r="B14" s="35" t="s">
        <v>22</v>
      </c>
      <c r="C14" s="199" t="s">
        <v>21</v>
      </c>
      <c r="D14" s="199"/>
      <c r="E14" s="33"/>
      <c r="F14" s="94"/>
      <c r="G14" s="17"/>
      <c r="H14" s="17"/>
      <c r="I14" s="25"/>
      <c r="J14" s="25"/>
      <c r="K14" s="25"/>
      <c r="L14" s="25"/>
    </row>
    <row r="15" spans="1:14" ht="20" customHeight="1" thickBot="1" x14ac:dyDescent="0.25">
      <c r="A15" s="30" t="s">
        <v>23</v>
      </c>
      <c r="B15" s="209" t="s">
        <v>24</v>
      </c>
      <c r="C15" s="209"/>
      <c r="D15" s="209"/>
      <c r="E15" s="33"/>
      <c r="F15" s="90" t="s">
        <v>25</v>
      </c>
      <c r="G15" s="202">
        <v>8</v>
      </c>
      <c r="H15" s="203"/>
      <c r="I15" s="91"/>
      <c r="J15" s="91"/>
      <c r="K15" s="17"/>
      <c r="L15" s="17"/>
      <c r="M15" s="18"/>
      <c r="N15" s="18"/>
    </row>
    <row r="16" spans="1:14" x14ac:dyDescent="0.2">
      <c r="A16" s="23"/>
      <c r="B16" s="23"/>
      <c r="C16" s="23"/>
      <c r="D16" s="23"/>
      <c r="E16" s="23"/>
      <c r="F16" s="17"/>
      <c r="G16" s="17"/>
      <c r="H16" s="17"/>
      <c r="I16" s="23"/>
      <c r="J16" s="23"/>
      <c r="K16" s="23"/>
      <c r="L16" s="23"/>
    </row>
    <row r="17" spans="1:14" x14ac:dyDescent="0.2">
      <c r="A17" s="177" t="s">
        <v>26</v>
      </c>
      <c r="B17" s="178"/>
      <c r="C17" s="178"/>
      <c r="D17" s="178"/>
      <c r="E17" s="178"/>
      <c r="F17" s="178"/>
      <c r="G17" s="178"/>
      <c r="H17" s="178"/>
      <c r="I17" s="178"/>
      <c r="J17" s="178"/>
      <c r="K17" s="178"/>
      <c r="L17" s="178"/>
    </row>
    <row r="18" spans="1:14" ht="10.25" customHeight="1" x14ac:dyDescent="0.2">
      <c r="A18" s="23"/>
      <c r="B18" s="23"/>
      <c r="C18" s="23"/>
      <c r="D18" s="23"/>
      <c r="E18" s="23"/>
      <c r="F18" s="23"/>
      <c r="G18" s="23"/>
      <c r="H18" s="23"/>
      <c r="I18" s="23"/>
      <c r="J18" s="23"/>
      <c r="K18" s="23"/>
      <c r="L18" s="23"/>
    </row>
    <row r="19" spans="1:14" ht="10.25" customHeight="1" x14ac:dyDescent="0.2">
      <c r="A19" s="23"/>
      <c r="B19" s="23"/>
      <c r="C19" s="23"/>
      <c r="D19" s="23"/>
      <c r="E19" s="23"/>
      <c r="F19" s="23"/>
      <c r="G19" s="23"/>
      <c r="H19" s="23"/>
      <c r="I19" s="23"/>
      <c r="J19" s="23"/>
      <c r="K19" s="23"/>
      <c r="L19" s="23"/>
    </row>
    <row r="20" spans="1:14" ht="10.25" customHeight="1" x14ac:dyDescent="0.2">
      <c r="A20" s="23"/>
      <c r="B20" s="23"/>
      <c r="C20" s="23"/>
      <c r="D20" s="23"/>
      <c r="E20" s="23"/>
      <c r="F20" s="23"/>
      <c r="G20" s="23"/>
      <c r="H20" s="23"/>
      <c r="I20" s="23"/>
      <c r="J20" s="23"/>
      <c r="K20" s="23"/>
      <c r="L20" s="23"/>
    </row>
    <row r="21" spans="1:14" ht="10.25" customHeight="1" x14ac:dyDescent="0.2">
      <c r="A21" s="23"/>
      <c r="B21" s="23"/>
      <c r="C21" s="23"/>
      <c r="D21" s="23"/>
      <c r="E21" s="23"/>
      <c r="F21" s="23"/>
      <c r="G21" s="23"/>
      <c r="H21" s="23"/>
      <c r="I21" s="23"/>
      <c r="J21" s="23"/>
      <c r="K21" s="23"/>
      <c r="L21" s="23"/>
    </row>
    <row r="22" spans="1:14" ht="10.25" customHeight="1" x14ac:dyDescent="0.2">
      <c r="A22" s="23"/>
      <c r="B22" s="23"/>
      <c r="C22" s="23"/>
      <c r="D22" s="23"/>
      <c r="E22" s="23"/>
      <c r="F22" s="23"/>
      <c r="G22" s="23"/>
      <c r="H22" s="23"/>
      <c r="I22" s="23"/>
      <c r="J22" s="23"/>
      <c r="K22" s="23"/>
      <c r="L22" s="23"/>
    </row>
    <row r="23" spans="1:14" ht="10.25" customHeight="1" x14ac:dyDescent="0.2">
      <c r="A23" s="23"/>
      <c r="B23" s="23"/>
      <c r="C23" s="23"/>
      <c r="D23" s="23"/>
      <c r="E23" s="23"/>
      <c r="F23" s="23"/>
      <c r="G23" s="23"/>
      <c r="H23" s="23"/>
      <c r="I23" s="23"/>
      <c r="J23" s="23"/>
      <c r="K23" s="23"/>
      <c r="L23" s="23"/>
    </row>
    <row r="24" spans="1:14" ht="10.25" customHeight="1" x14ac:dyDescent="0.2">
      <c r="A24" s="23"/>
      <c r="B24" s="23"/>
      <c r="C24" s="23"/>
      <c r="D24" s="23"/>
      <c r="E24" s="23"/>
      <c r="F24" s="23"/>
      <c r="G24" s="23"/>
      <c r="H24" s="23"/>
      <c r="I24" s="23"/>
      <c r="J24" s="23"/>
      <c r="K24" s="23"/>
      <c r="L24" s="23"/>
    </row>
    <row r="25" spans="1:14" ht="10.25" customHeight="1" x14ac:dyDescent="0.2">
      <c r="A25" s="23"/>
      <c r="B25" s="23"/>
      <c r="C25" s="23"/>
      <c r="D25" s="23"/>
      <c r="E25" s="23"/>
      <c r="F25" s="23"/>
      <c r="G25" s="23"/>
      <c r="H25" s="23"/>
      <c r="I25" s="23"/>
      <c r="J25" s="23"/>
      <c r="K25" s="23"/>
      <c r="L25" s="23"/>
    </row>
    <row r="26" spans="1:14" ht="10.25" customHeight="1" thickBot="1" x14ac:dyDescent="0.25">
      <c r="A26" s="23"/>
      <c r="B26" s="23"/>
      <c r="C26" s="23"/>
      <c r="D26" s="23"/>
      <c r="E26" s="23"/>
      <c r="F26" s="23"/>
      <c r="G26" s="23"/>
      <c r="H26" s="23"/>
      <c r="I26" s="23"/>
      <c r="J26" s="23"/>
      <c r="K26" s="23"/>
      <c r="L26" s="23"/>
    </row>
    <row r="27" spans="1:14" ht="16.25" customHeight="1" thickBot="1" x14ac:dyDescent="0.25">
      <c r="A27" s="231" t="s">
        <v>27</v>
      </c>
      <c r="B27" s="232"/>
      <c r="C27" s="232"/>
      <c r="D27" s="233"/>
      <c r="E27" s="36"/>
      <c r="F27" s="226" t="s">
        <v>28</v>
      </c>
      <c r="G27" s="227"/>
      <c r="H27" s="228"/>
      <c r="I27" s="36"/>
      <c r="J27" s="242" t="s">
        <v>29</v>
      </c>
      <c r="K27" s="243"/>
      <c r="L27" s="244"/>
      <c r="M27" s="18"/>
      <c r="N27" s="18"/>
    </row>
    <row r="28" spans="1:14" ht="16.25" customHeight="1" x14ac:dyDescent="0.2">
      <c r="A28" s="21" t="s">
        <v>30</v>
      </c>
      <c r="B28" s="229" t="s">
        <v>31</v>
      </c>
      <c r="C28" s="229"/>
      <c r="D28" s="230"/>
      <c r="E28" s="23"/>
      <c r="F28" s="22" t="s">
        <v>32</v>
      </c>
      <c r="G28" s="234" t="str">
        <f>INT(G33/60) &amp; " H, " &amp; (G33 - INT(G33/60) * 60) &amp; " M"</f>
        <v>0 H, 0 M</v>
      </c>
      <c r="H28" s="235"/>
      <c r="I28" s="23"/>
      <c r="J28" s="236" t="s">
        <v>32</v>
      </c>
      <c r="K28" s="237"/>
      <c r="L28" s="37" t="str">
        <f>INT(M33/60) &amp; " H, " &amp; (M33 - INT(M33/60) * 60) &amp; " M"</f>
        <v>0 H, 0 M</v>
      </c>
      <c r="M28" s="18"/>
      <c r="N28" s="18"/>
    </row>
    <row r="29" spans="1:14" ht="16.25" customHeight="1" x14ac:dyDescent="0.2">
      <c r="A29" s="24" t="s">
        <v>33</v>
      </c>
      <c r="B29" s="188" t="s">
        <v>34</v>
      </c>
      <c r="C29" s="188"/>
      <c r="D29" s="225"/>
      <c r="E29" s="23"/>
      <c r="F29" s="26" t="s">
        <v>35</v>
      </c>
      <c r="G29" s="234" t="str">
        <f t="shared" ref="G29:G31" si="0">INT(G34/60) &amp; " H, " &amp; (G34 - INT(G34/60) * 60) &amp; " M"</f>
        <v>0 H, 0 M</v>
      </c>
      <c r="H29" s="235"/>
      <c r="I29" s="23"/>
      <c r="J29" s="238" t="s">
        <v>35</v>
      </c>
      <c r="K29" s="239"/>
      <c r="L29" s="37" t="str">
        <f t="shared" ref="L29:L30" si="1">INT(M34/60) &amp; " H, " &amp; (M34 - INT(M34/60) * 60) &amp; " M"</f>
        <v>0 H, 0 M</v>
      </c>
      <c r="M29" s="18"/>
      <c r="N29" s="18"/>
    </row>
    <row r="30" spans="1:14" ht="16.25" customHeight="1" thickBot="1" x14ac:dyDescent="0.25">
      <c r="A30" s="27" t="s">
        <v>36</v>
      </c>
      <c r="B30" s="246" t="s">
        <v>37</v>
      </c>
      <c r="C30" s="246"/>
      <c r="D30" s="247"/>
      <c r="E30" s="23"/>
      <c r="F30" s="26" t="s">
        <v>38</v>
      </c>
      <c r="G30" s="234" t="str">
        <f t="shared" si="0"/>
        <v>0 H, 0 M</v>
      </c>
      <c r="H30" s="235"/>
      <c r="I30" s="23"/>
      <c r="J30" s="238" t="s">
        <v>39</v>
      </c>
      <c r="K30" s="239"/>
      <c r="L30" s="37" t="str">
        <f t="shared" si="1"/>
        <v>0 H, 0 M</v>
      </c>
      <c r="N30" s="18"/>
    </row>
    <row r="31" spans="1:14" ht="16.25" customHeight="1" thickBot="1" x14ac:dyDescent="0.25">
      <c r="A31" s="23"/>
      <c r="B31" s="23"/>
      <c r="C31" s="23"/>
      <c r="D31" s="23"/>
      <c r="E31" s="23"/>
      <c r="F31" s="28" t="s">
        <v>40</v>
      </c>
      <c r="G31" s="248" t="str">
        <f t="shared" si="0"/>
        <v>0 H, 0 M</v>
      </c>
      <c r="H31" s="249"/>
      <c r="I31" s="23"/>
      <c r="J31" s="240"/>
      <c r="K31" s="241"/>
      <c r="L31" s="38"/>
      <c r="N31" s="18"/>
    </row>
    <row r="32" spans="1:14" x14ac:dyDescent="0.2">
      <c r="A32" s="23"/>
      <c r="B32" s="23"/>
      <c r="C32" s="23"/>
      <c r="D32" s="23"/>
      <c r="E32" s="23"/>
      <c r="F32" s="23"/>
      <c r="G32" s="23"/>
      <c r="H32" s="23"/>
      <c r="I32" s="23"/>
      <c r="J32" s="23"/>
      <c r="K32" s="23"/>
      <c r="L32" s="23"/>
    </row>
    <row r="33" spans="6:13" ht="16.25" hidden="1" customHeight="1" x14ac:dyDescent="0.2">
      <c r="F33" s="23" t="s">
        <v>32</v>
      </c>
      <c r="G33" s="18">
        <f>SUM(RFC!K36:K43)</f>
        <v>0</v>
      </c>
      <c r="J33" s="245" t="s">
        <v>32</v>
      </c>
      <c r="K33" s="245"/>
      <c r="L33" s="29">
        <v>0.25</v>
      </c>
      <c r="M33" s="18">
        <f>G33*(1+L33)</f>
        <v>0</v>
      </c>
    </row>
    <row r="34" spans="6:13" ht="16.25" hidden="1" customHeight="1" x14ac:dyDescent="0.2">
      <c r="F34" s="23" t="s">
        <v>35</v>
      </c>
      <c r="G34" s="18">
        <f>SUM(RFC!K57:K203)</f>
        <v>0</v>
      </c>
      <c r="J34" s="245" t="s">
        <v>35</v>
      </c>
      <c r="K34" s="245"/>
      <c r="L34" s="29">
        <v>0.25</v>
      </c>
      <c r="M34" s="18">
        <f t="shared" ref="M34:M36" si="2">G34*(1+L34)</f>
        <v>0</v>
      </c>
    </row>
    <row r="35" spans="6:13" ht="16.25" hidden="1" customHeight="1" x14ac:dyDescent="0.2">
      <c r="F35" s="23" t="s">
        <v>39</v>
      </c>
      <c r="G35" s="18">
        <f>SUM(VALIDACIÓN!J18:J51)</f>
        <v>0</v>
      </c>
      <c r="J35" s="245" t="s">
        <v>39</v>
      </c>
      <c r="K35" s="245"/>
      <c r="L35" s="29">
        <v>0.5</v>
      </c>
      <c r="M35" s="18">
        <f t="shared" si="2"/>
        <v>0</v>
      </c>
    </row>
    <row r="36" spans="6:13" hidden="1" x14ac:dyDescent="0.2">
      <c r="F36" s="23" t="s">
        <v>40</v>
      </c>
      <c r="G36" s="18">
        <f>SUM(ROLLBACK!K35:K205)</f>
        <v>0</v>
      </c>
      <c r="J36" s="245" t="s">
        <v>40</v>
      </c>
      <c r="K36" s="245"/>
      <c r="L36" s="29">
        <v>0.5</v>
      </c>
      <c r="M36" s="18">
        <f t="shared" si="2"/>
        <v>0</v>
      </c>
    </row>
    <row r="37" spans="6:13" ht="16.25" customHeight="1" x14ac:dyDescent="0.2"/>
    <row r="38" spans="6:13" ht="16.25" customHeight="1" x14ac:dyDescent="0.2"/>
    <row r="39" spans="6:13" ht="16.25" customHeight="1" x14ac:dyDescent="0.2"/>
    <row r="40" spans="6:13" ht="14.75" customHeight="1" x14ac:dyDescent="0.2"/>
    <row r="41" spans="6:13" ht="14.75" customHeight="1" x14ac:dyDescent="0.2"/>
    <row r="42" spans="6:13" ht="14.75" customHeight="1" x14ac:dyDescent="0.2"/>
    <row r="43" spans="6:13" ht="8" customHeight="1" x14ac:dyDescent="0.2"/>
  </sheetData>
  <sheetProtection formatCells="0" formatColumns="0" formatRows="0" insertColumns="0" insertRows="0" insertHyperlinks="0" deleteColumns="0" deleteRows="0" selectLockedCells="1" sort="0" autoFilter="0" pivotTables="0"/>
  <mergeCells count="36">
    <mergeCell ref="J33:K33"/>
    <mergeCell ref="J34:K34"/>
    <mergeCell ref="J35:K35"/>
    <mergeCell ref="J36:K36"/>
    <mergeCell ref="B30:D30"/>
    <mergeCell ref="G30:H30"/>
    <mergeCell ref="G31:H31"/>
    <mergeCell ref="J28:K28"/>
    <mergeCell ref="J29:K29"/>
    <mergeCell ref="J30:K30"/>
    <mergeCell ref="J31:K31"/>
    <mergeCell ref="J27:L27"/>
    <mergeCell ref="B29:D29"/>
    <mergeCell ref="F27:H27"/>
    <mergeCell ref="B28:D28"/>
    <mergeCell ref="A27:D27"/>
    <mergeCell ref="G28:H28"/>
    <mergeCell ref="G29:H29"/>
    <mergeCell ref="G9:H9"/>
    <mergeCell ref="B9:D9"/>
    <mergeCell ref="I8:L8"/>
    <mergeCell ref="B8:D8"/>
    <mergeCell ref="B10:D10"/>
    <mergeCell ref="G8:H8"/>
    <mergeCell ref="I9:L13"/>
    <mergeCell ref="A17:L17"/>
    <mergeCell ref="G10:H10"/>
    <mergeCell ref="C11:D11"/>
    <mergeCell ref="G11:H11"/>
    <mergeCell ref="C12:D12"/>
    <mergeCell ref="G15:H15"/>
    <mergeCell ref="A11:A14"/>
    <mergeCell ref="C14:D14"/>
    <mergeCell ref="G12:H12"/>
    <mergeCell ref="B15:D15"/>
    <mergeCell ref="C13:D13"/>
  </mergeCells>
  <dataValidations count="8">
    <dataValidation type="list" allowBlank="1" showInputMessage="1" showErrorMessage="1" sqref="G11:H11" xr:uid="{F582450F-FA6B-465D-985D-76F28F1D561E}">
      <formula1>"Selecciona,Si,No"</formula1>
    </dataValidation>
    <dataValidation type="list" allowBlank="1" showInputMessage="1" showErrorMessage="1" sqref="G10:H10" xr:uid="{4E47B598-247E-45E6-8E6E-D1283246DC83}">
      <formula1>"Selecciona,Alto,Medio,Bajo"</formula1>
    </dataValidation>
    <dataValidation type="list" allowBlank="1" showInputMessage="1" showErrorMessage="1" sqref="G8:H8" xr:uid="{28780E47-21DB-4689-ACF9-E494FB4A7D00}">
      <formula1>"Selecciona,Normal,Estandar,Emergente"</formula1>
    </dataValidation>
    <dataValidation type="list" allowBlank="1" showInputMessage="1" showErrorMessage="1" sqref="B15:D15" xr:uid="{A753E275-DC08-4009-A77B-172A2DE2FF3C}">
      <formula1>"Selecciona,PROD,QA1,QA2,QA3"</formula1>
    </dataValidation>
    <dataValidation type="list" allowBlank="1" showInputMessage="1" showErrorMessage="1" sqref="G9:H9" xr:uid="{257382D5-9934-4207-91A1-9809344D1604}">
      <formula1>"Selecciona,Alta,Media,Baja"</formula1>
    </dataValidation>
    <dataValidation type="list" allowBlank="1" showInputMessage="1" showErrorMessage="1" sqref="B28" xr:uid="{0253E1BF-66DB-4AC7-9072-E6D39D2168B0}">
      <formula1>"Seleccionar, Durante el día operativo, Cierre de las sucursales"</formula1>
    </dataValidation>
    <dataValidation type="list" allowBlank="1" showInputMessage="1" showErrorMessage="1" sqref="B29" xr:uid="{70C0E990-57F8-4183-8522-20260BD351B6}">
      <formula1>"Seleccionar, Desarrollo de software, Infraestructura, Ambos (desarrollo de software e infraestructura)."</formula1>
    </dataValidation>
    <dataValidation type="list" allowBlank="1" showInputMessage="1" showErrorMessage="1" sqref="B30" xr:uid="{D6F2AD15-053E-4767-914C-B3B49BB0DD28}">
      <formula1>"Seleccionar, Sí se requiren pruebas,No se consideran pruebas."</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F507C-2687-4833-8D41-B7A103F38CD9}">
  <dimension ref="A7:T74"/>
  <sheetViews>
    <sheetView showGridLines="0" tabSelected="1" topLeftCell="A38" zoomScale="85" zoomScaleNormal="85" zoomScalePageLayoutView="85" workbookViewId="0">
      <selection activeCell="B38" sqref="B38:F38"/>
    </sheetView>
  </sheetViews>
  <sheetFormatPr baseColWidth="10" defaultColWidth="10.83203125" defaultRowHeight="13" outlineLevelRow="1" x14ac:dyDescent="0.2"/>
  <cols>
    <col min="1" max="1" width="32" style="23" customWidth="1"/>
    <col min="2" max="2" width="24.5" style="23" customWidth="1"/>
    <col min="3" max="3" width="10.83203125" style="23"/>
    <col min="4" max="4" width="14.5" style="23" customWidth="1"/>
    <col min="5" max="5" width="13" style="23" customWidth="1"/>
    <col min="6" max="6" width="59.1640625" style="23" customWidth="1"/>
    <col min="7" max="7" width="14.1640625" style="23" customWidth="1"/>
    <col min="8" max="8" width="16.83203125" style="23" customWidth="1"/>
    <col min="9" max="9" width="23.1640625" style="23" customWidth="1"/>
    <col min="10" max="10" width="16" style="23" customWidth="1"/>
    <col min="11" max="11" width="14.5" style="23" customWidth="1"/>
    <col min="12" max="13" width="10.83203125" style="23" customWidth="1"/>
    <col min="14" max="14" width="16.5" style="23" customWidth="1"/>
    <col min="15" max="16384" width="10.83203125" style="23"/>
  </cols>
  <sheetData>
    <row r="7" spans="1:20" ht="14" thickBot="1" x14ac:dyDescent="0.25"/>
    <row r="8" spans="1:20" ht="25.25" customHeight="1" thickBot="1" x14ac:dyDescent="0.25">
      <c r="A8" s="54" t="str">
        <f>EV.RIESGO!A8</f>
        <v>ID del proyecto:</v>
      </c>
      <c r="B8" s="292" t="str">
        <f>EV.RIESGO!B8</f>
        <v>com001-pe26 | td029-bf26</v>
      </c>
      <c r="C8" s="293"/>
      <c r="D8" s="294"/>
      <c r="E8" s="55"/>
      <c r="F8" s="56" t="str">
        <f>EV.RIESGO!F8</f>
        <v>Tipo de Cambio:</v>
      </c>
      <c r="G8" s="172" t="str">
        <f>EV.RIESGO!G8</f>
        <v>Normal</v>
      </c>
      <c r="H8" s="172"/>
      <c r="I8" s="58"/>
      <c r="J8" s="181" t="str">
        <f>EV.RIESGO!I8</f>
        <v>Comentarios adicionales.</v>
      </c>
      <c r="K8" s="182"/>
      <c r="L8" s="182"/>
      <c r="M8" s="182"/>
      <c r="N8" s="183"/>
      <c r="P8" s="314" t="s">
        <v>41</v>
      </c>
      <c r="Q8" s="315"/>
      <c r="R8" s="315"/>
      <c r="S8" s="315"/>
      <c r="T8" s="316"/>
    </row>
    <row r="9" spans="1:20" ht="36" customHeight="1" x14ac:dyDescent="0.2">
      <c r="A9" s="54" t="str">
        <f>EV.RIESGO!A9</f>
        <v>Nombre del proyecto</v>
      </c>
      <c r="B9" s="292" t="str">
        <f>EV.RIESGO!B9</f>
        <v>Club Macropay | Compras con Macropesos no descuentan los Macropesos usados a los  clientes</v>
      </c>
      <c r="C9" s="293"/>
      <c r="D9" s="294"/>
      <c r="E9" s="55"/>
      <c r="F9" s="56" t="str">
        <f>EV.RIESGO!F9</f>
        <v>Prioridad:</v>
      </c>
      <c r="G9" s="172" t="str">
        <f>EV.RIESGO!G9</f>
        <v>Alta</v>
      </c>
      <c r="H9" s="172"/>
      <c r="I9" s="58"/>
      <c r="J9" s="298"/>
      <c r="K9" s="298"/>
      <c r="L9" s="298"/>
      <c r="M9" s="298"/>
      <c r="N9" s="298"/>
      <c r="P9" s="317">
        <f>COUNTIF(P36:T54,"Completado")/(COUNTA(P36:T43,P53:T54))</f>
        <v>0</v>
      </c>
      <c r="Q9" s="143"/>
      <c r="R9" s="143"/>
      <c r="S9" s="143"/>
      <c r="T9" s="318"/>
    </row>
    <row r="10" spans="1:20" ht="35.25" customHeight="1" x14ac:dyDescent="0.2">
      <c r="A10" s="54" t="str">
        <f>EV.RIESGO!A10</f>
        <v>Plataformas impactadas:</v>
      </c>
      <c r="B10" s="292" t="str">
        <f>EV.RIESGO!B10</f>
        <v>PF, POS, APP, Mulesfort, Salesforce, Infobip</v>
      </c>
      <c r="C10" s="293"/>
      <c r="D10" s="294"/>
      <c r="E10" s="59"/>
      <c r="F10" s="56" t="str">
        <f>EV.RIESGO!F10</f>
        <v>Riesgo:</v>
      </c>
      <c r="G10" s="172" t="str">
        <f>EV.RIESGO!G10</f>
        <v>Medio</v>
      </c>
      <c r="H10" s="172"/>
      <c r="I10" s="58"/>
      <c r="J10" s="298"/>
      <c r="K10" s="298"/>
      <c r="L10" s="298"/>
      <c r="M10" s="298"/>
      <c r="N10" s="298"/>
      <c r="P10" s="319"/>
      <c r="Q10" s="146"/>
      <c r="R10" s="146"/>
      <c r="S10" s="146"/>
      <c r="T10" s="320"/>
    </row>
    <row r="11" spans="1:20" ht="25.25" customHeight="1" x14ac:dyDescent="0.2">
      <c r="A11" s="173" t="str">
        <f>EV.RIESGO!A11</f>
        <v>Líder del Cambio:</v>
      </c>
      <c r="B11" s="72" t="str">
        <f>EV.RIESGO!B11</f>
        <v>Arquitecto</v>
      </c>
      <c r="C11" s="310" t="str">
        <f>EV.RIESGO!C11</f>
        <v>Henry Suárez Hernández/Jonathan Mauricio López</v>
      </c>
      <c r="D11" s="310"/>
      <c r="E11" s="59"/>
      <c r="F11" s="56" t="str">
        <f>EV.RIESGO!F11</f>
        <v>Afecta la operación:</v>
      </c>
      <c r="G11" s="172" t="str">
        <f>EV.RIESGO!G11</f>
        <v>Si</v>
      </c>
      <c r="H11" s="172"/>
      <c r="I11" s="58"/>
      <c r="J11" s="298"/>
      <c r="K11" s="298"/>
      <c r="L11" s="298"/>
      <c r="M11" s="298"/>
      <c r="N11" s="298"/>
      <c r="P11" s="319"/>
      <c r="Q11" s="146"/>
      <c r="R11" s="146"/>
      <c r="S11" s="146"/>
      <c r="T11" s="320"/>
    </row>
    <row r="12" spans="1:20" ht="25.25" customHeight="1" x14ac:dyDescent="0.2">
      <c r="A12" s="174"/>
      <c r="B12" s="72" t="str">
        <f>EV.RIESGO!B12</f>
        <v>Project Manager</v>
      </c>
      <c r="C12" s="310" t="str">
        <f>EV.RIESGO!C12</f>
        <v>Maria Alicia Moguel | Ivan Torres</v>
      </c>
      <c r="D12" s="310"/>
      <c r="E12" s="59"/>
      <c r="F12" s="61"/>
      <c r="G12" s="62"/>
      <c r="H12" s="62"/>
      <c r="I12" s="25"/>
      <c r="J12" s="298"/>
      <c r="K12" s="298"/>
      <c r="L12" s="298"/>
      <c r="M12" s="298"/>
      <c r="N12" s="298"/>
      <c r="P12" s="319"/>
      <c r="Q12" s="146"/>
      <c r="R12" s="146"/>
      <c r="S12" s="146"/>
      <c r="T12" s="320"/>
    </row>
    <row r="13" spans="1:20" ht="25.25" customHeight="1" thickBot="1" x14ac:dyDescent="0.25">
      <c r="A13" s="174"/>
      <c r="B13" s="72" t="str">
        <f>EV.RIESGO!B13</f>
        <v xml:space="preserve">Líder de Célula </v>
      </c>
      <c r="C13" s="310" t="str">
        <f>EV.RIESGO!C13</f>
        <v>Pablo Genaro Sanchez</v>
      </c>
      <c r="D13" s="310"/>
      <c r="E13" s="59"/>
      <c r="F13" s="61"/>
      <c r="G13" s="196"/>
      <c r="H13" s="196"/>
      <c r="I13" s="25"/>
      <c r="J13" s="298"/>
      <c r="K13" s="298"/>
      <c r="L13" s="298"/>
      <c r="M13" s="298"/>
      <c r="N13" s="298"/>
      <c r="P13" s="321"/>
      <c r="Q13" s="322"/>
      <c r="R13" s="322"/>
      <c r="S13" s="322"/>
      <c r="T13" s="323"/>
    </row>
    <row r="14" spans="1:20" ht="25.25" customHeight="1" thickBot="1" x14ac:dyDescent="0.25">
      <c r="A14" s="175"/>
      <c r="B14" s="72" t="str">
        <f>EV.RIESGO!B14</f>
        <v xml:space="preserve">Líder Técnico </v>
      </c>
      <c r="C14" s="310" t="str">
        <f>EV.RIESGO!C14</f>
        <v>Pablo Genaro Sanchez</v>
      </c>
      <c r="D14" s="310"/>
      <c r="E14" s="59"/>
      <c r="F14" s="61"/>
      <c r="G14" s="62"/>
      <c r="H14" s="62"/>
      <c r="I14" s="25"/>
      <c r="J14" s="25"/>
      <c r="K14" s="25"/>
      <c r="L14" s="25"/>
      <c r="M14" s="25"/>
      <c r="N14" s="25"/>
      <c r="P14" s="63"/>
      <c r="Q14" s="63"/>
      <c r="R14" s="63"/>
      <c r="S14" s="63"/>
      <c r="T14" s="63"/>
    </row>
    <row r="15" spans="1:20" ht="25.25" customHeight="1" thickBot="1" x14ac:dyDescent="0.25">
      <c r="A15" s="54" t="str">
        <f>EV.RIESGO!A15</f>
        <v>Ambiente:</v>
      </c>
      <c r="B15" s="313" t="str">
        <f>EV.RIESGO!B15</f>
        <v>PROD</v>
      </c>
      <c r="C15" s="313"/>
      <c r="D15" s="313"/>
      <c r="E15" s="59"/>
      <c r="F15" s="93" t="str">
        <f>EV.RIESGO!F15</f>
        <v>Componentes a desplegar:</v>
      </c>
      <c r="G15" s="311">
        <f>'INFRA Y DEVOPS'!G15</f>
        <v>14</v>
      </c>
      <c r="H15" s="312"/>
      <c r="I15" s="33"/>
      <c r="J15" s="33"/>
      <c r="K15" s="25"/>
      <c r="L15" s="25"/>
      <c r="N15" s="63"/>
      <c r="O15" s="63"/>
      <c r="P15" s="63"/>
      <c r="Q15" s="63"/>
      <c r="R15" s="63"/>
    </row>
    <row r="16" spans="1:20" x14ac:dyDescent="0.2">
      <c r="A16" s="64"/>
      <c r="B16" s="64"/>
      <c r="C16" s="64"/>
      <c r="D16" s="64"/>
      <c r="E16" s="64"/>
      <c r="F16" s="64"/>
      <c r="G16" s="64"/>
      <c r="H16" s="64"/>
    </row>
    <row r="17" spans="1:14" x14ac:dyDescent="0.2">
      <c r="A17" s="177" t="s">
        <v>42</v>
      </c>
      <c r="B17" s="178"/>
      <c r="C17" s="178"/>
      <c r="D17" s="178"/>
      <c r="E17" s="178"/>
      <c r="F17" s="178"/>
      <c r="G17" s="178"/>
      <c r="H17" s="178"/>
      <c r="I17" s="178"/>
      <c r="J17" s="178"/>
      <c r="K17" s="178"/>
      <c r="L17" s="178"/>
      <c r="M17" s="178"/>
      <c r="N17" s="178"/>
    </row>
    <row r="18" spans="1:14" ht="8" customHeight="1" x14ac:dyDescent="0.2"/>
    <row r="19" spans="1:14" outlineLevel="1" x14ac:dyDescent="0.2">
      <c r="B19" s="179" t="s">
        <v>43</v>
      </c>
      <c r="C19" s="179"/>
      <c r="D19" s="179"/>
      <c r="E19" s="65" t="s">
        <v>44</v>
      </c>
      <c r="F19" s="299" t="s">
        <v>45</v>
      </c>
      <c r="G19" s="300"/>
      <c r="H19" s="299" t="s">
        <v>46</v>
      </c>
      <c r="I19" s="303"/>
      <c r="J19" s="300"/>
    </row>
    <row r="20" spans="1:14" outlineLevel="1" x14ac:dyDescent="0.2">
      <c r="B20" s="308" t="s">
        <v>47</v>
      </c>
      <c r="C20" s="308"/>
      <c r="D20" s="309"/>
      <c r="E20" s="65" t="s">
        <v>47</v>
      </c>
      <c r="F20" s="301"/>
      <c r="G20" s="302"/>
      <c r="H20" s="301"/>
      <c r="I20" s="304"/>
      <c r="J20" s="302"/>
    </row>
    <row r="21" spans="1:14" ht="29" customHeight="1" outlineLevel="1" x14ac:dyDescent="0.2">
      <c r="B21" s="291" t="s">
        <v>48</v>
      </c>
      <c r="C21" s="291"/>
      <c r="D21" s="291"/>
      <c r="E21" s="57" t="s">
        <v>49</v>
      </c>
      <c r="F21" s="295" t="s">
        <v>47</v>
      </c>
      <c r="G21" s="297"/>
      <c r="H21" s="295"/>
      <c r="I21" s="296"/>
      <c r="J21" s="297"/>
    </row>
    <row r="22" spans="1:14" ht="29" customHeight="1" outlineLevel="1" x14ac:dyDescent="0.2">
      <c r="B22" s="291" t="s">
        <v>50</v>
      </c>
      <c r="C22" s="291"/>
      <c r="D22" s="291"/>
      <c r="E22" s="57" t="s">
        <v>51</v>
      </c>
      <c r="F22" s="307" t="str">
        <f>EV.RIESGO!C14</f>
        <v>Pablo Genaro Sanchez</v>
      </c>
      <c r="G22" s="297"/>
      <c r="H22" s="295"/>
      <c r="I22" s="296"/>
      <c r="J22" s="297"/>
    </row>
    <row r="23" spans="1:14" ht="29" customHeight="1" outlineLevel="1" x14ac:dyDescent="0.2">
      <c r="B23" s="291" t="s">
        <v>52</v>
      </c>
      <c r="C23" s="291"/>
      <c r="D23" s="291"/>
      <c r="E23" s="57" t="s">
        <v>53</v>
      </c>
      <c r="F23" s="295" t="s">
        <v>47</v>
      </c>
      <c r="G23" s="297"/>
      <c r="H23" s="295"/>
      <c r="I23" s="296"/>
      <c r="J23" s="297"/>
    </row>
    <row r="24" spans="1:14" ht="29" customHeight="1" outlineLevel="1" x14ac:dyDescent="0.2">
      <c r="B24" s="291" t="s">
        <v>54</v>
      </c>
      <c r="C24" s="291"/>
      <c r="D24" s="291"/>
      <c r="E24" s="57" t="s">
        <v>55</v>
      </c>
      <c r="F24" s="295" t="str">
        <f>EV.RIESGO!C13</f>
        <v>Pablo Genaro Sanchez</v>
      </c>
      <c r="G24" s="297"/>
      <c r="H24" s="295"/>
      <c r="I24" s="296"/>
      <c r="J24" s="297"/>
    </row>
    <row r="25" spans="1:14" ht="29" customHeight="1" outlineLevel="1" x14ac:dyDescent="0.2">
      <c r="B25" s="291" t="s">
        <v>56</v>
      </c>
      <c r="C25" s="291"/>
      <c r="D25" s="291"/>
      <c r="E25" s="57" t="s">
        <v>56</v>
      </c>
      <c r="F25" s="295" t="s">
        <v>57</v>
      </c>
      <c r="G25" s="297"/>
      <c r="H25" s="295"/>
      <c r="I25" s="296"/>
      <c r="J25" s="297"/>
    </row>
    <row r="26" spans="1:14" ht="29" customHeight="1" outlineLevel="1" x14ac:dyDescent="0.2">
      <c r="B26" s="291" t="s">
        <v>58</v>
      </c>
      <c r="C26" s="291"/>
      <c r="D26" s="291"/>
      <c r="E26" s="57" t="s">
        <v>59</v>
      </c>
      <c r="F26" s="295" t="s">
        <v>47</v>
      </c>
      <c r="G26" s="297"/>
      <c r="H26" s="295"/>
      <c r="I26" s="296"/>
      <c r="J26" s="297"/>
    </row>
    <row r="27" spans="1:14" ht="29" customHeight="1" outlineLevel="1" x14ac:dyDescent="0.2">
      <c r="B27" s="291" t="s">
        <v>60</v>
      </c>
      <c r="C27" s="291"/>
      <c r="D27" s="291"/>
      <c r="E27" s="57" t="s">
        <v>61</v>
      </c>
      <c r="F27" s="295" t="s">
        <v>47</v>
      </c>
      <c r="G27" s="297"/>
      <c r="H27" s="295"/>
      <c r="I27" s="296"/>
      <c r="J27" s="297"/>
    </row>
    <row r="28" spans="1:14" ht="29" customHeight="1" outlineLevel="1" x14ac:dyDescent="0.2">
      <c r="B28" s="291" t="s">
        <v>62</v>
      </c>
      <c r="C28" s="291"/>
      <c r="D28" s="291"/>
      <c r="E28" s="57" t="s">
        <v>63</v>
      </c>
      <c r="F28" s="295"/>
      <c r="G28" s="297"/>
      <c r="H28" s="295"/>
      <c r="I28" s="296"/>
      <c r="J28" s="297"/>
    </row>
    <row r="29" spans="1:14" ht="29" customHeight="1" outlineLevel="1" x14ac:dyDescent="0.2">
      <c r="B29" s="291" t="s">
        <v>64</v>
      </c>
      <c r="C29" s="291"/>
      <c r="D29" s="291"/>
      <c r="E29" s="57" t="s">
        <v>65</v>
      </c>
      <c r="F29" s="295"/>
      <c r="G29" s="297"/>
      <c r="H29" s="295"/>
      <c r="I29" s="296"/>
      <c r="J29" s="297"/>
    </row>
    <row r="30" spans="1:14" ht="29" customHeight="1" outlineLevel="1" x14ac:dyDescent="0.2">
      <c r="B30" s="291" t="s">
        <v>66</v>
      </c>
      <c r="C30" s="291"/>
      <c r="D30" s="291"/>
      <c r="E30" s="57" t="s">
        <v>66</v>
      </c>
      <c r="F30" s="295"/>
      <c r="G30" s="297"/>
      <c r="H30" s="295"/>
      <c r="I30" s="296"/>
      <c r="J30" s="297"/>
    </row>
    <row r="31" spans="1:14" ht="29" customHeight="1" outlineLevel="1" x14ac:dyDescent="0.2">
      <c r="B31" s="291"/>
      <c r="C31" s="291"/>
      <c r="D31" s="291"/>
      <c r="E31" s="57"/>
      <c r="F31" s="295"/>
      <c r="G31" s="297"/>
    </row>
    <row r="32" spans="1:14" ht="15" customHeight="1" x14ac:dyDescent="0.2"/>
    <row r="33" spans="1:20" x14ac:dyDescent="0.2">
      <c r="A33" s="177" t="s">
        <v>67</v>
      </c>
      <c r="B33" s="178"/>
      <c r="C33" s="178"/>
      <c r="D33" s="178"/>
      <c r="E33" s="178"/>
      <c r="F33" s="178"/>
      <c r="G33" s="178"/>
      <c r="H33" s="178"/>
      <c r="I33" s="178"/>
      <c r="J33" s="178"/>
      <c r="K33" s="178"/>
      <c r="L33" s="178"/>
      <c r="M33" s="178"/>
      <c r="N33" s="178"/>
    </row>
    <row r="34" spans="1:20" ht="8" customHeight="1" x14ac:dyDescent="0.2"/>
    <row r="35" spans="1:20" s="25" customFormat="1" ht="28" outlineLevel="1" x14ac:dyDescent="0.2">
      <c r="A35" s="34" t="s">
        <v>68</v>
      </c>
      <c r="B35" s="305" t="s">
        <v>69</v>
      </c>
      <c r="C35" s="327"/>
      <c r="D35" s="327"/>
      <c r="E35" s="327"/>
      <c r="F35" s="306"/>
      <c r="G35" s="305" t="s">
        <v>70</v>
      </c>
      <c r="H35" s="306"/>
      <c r="I35" s="66" t="s">
        <v>71</v>
      </c>
      <c r="J35" s="34" t="s">
        <v>44</v>
      </c>
      <c r="K35" s="67" t="s">
        <v>72</v>
      </c>
      <c r="L35" s="34" t="s">
        <v>73</v>
      </c>
      <c r="M35" s="305" t="s">
        <v>74</v>
      </c>
      <c r="N35" s="327"/>
      <c r="P35" s="324" t="s">
        <v>75</v>
      </c>
      <c r="Q35" s="325"/>
      <c r="R35" s="325"/>
      <c r="S35" s="325"/>
      <c r="T35" s="326"/>
    </row>
    <row r="36" spans="1:20" ht="117.75" customHeight="1" outlineLevel="1" x14ac:dyDescent="0.2">
      <c r="A36" s="68">
        <v>1</v>
      </c>
      <c r="B36" s="169" t="s">
        <v>76</v>
      </c>
      <c r="C36" s="170"/>
      <c r="D36" s="170"/>
      <c r="E36" s="170"/>
      <c r="F36" s="171"/>
      <c r="G36" s="261" t="s">
        <v>77</v>
      </c>
      <c r="H36" s="255"/>
      <c r="I36" s="98" t="s">
        <v>78</v>
      </c>
      <c r="J36" s="95" t="s">
        <v>49</v>
      </c>
      <c r="K36" s="69"/>
      <c r="L36" s="69"/>
      <c r="M36" s="128"/>
      <c r="N36" s="128"/>
      <c r="P36" s="266" t="s">
        <v>79</v>
      </c>
      <c r="Q36" s="266"/>
      <c r="R36" s="266"/>
      <c r="S36" s="266"/>
      <c r="T36" s="266"/>
    </row>
    <row r="37" spans="1:20" ht="81.75" customHeight="1" outlineLevel="1" x14ac:dyDescent="0.2">
      <c r="A37" s="68">
        <v>2</v>
      </c>
      <c r="B37" s="123" t="s">
        <v>80</v>
      </c>
      <c r="C37" s="330"/>
      <c r="D37" s="330"/>
      <c r="E37" s="330"/>
      <c r="F37" s="330"/>
      <c r="G37" s="329" t="s">
        <v>24</v>
      </c>
      <c r="H37" s="127"/>
      <c r="I37" s="98" t="s">
        <v>78</v>
      </c>
      <c r="J37" s="95" t="s">
        <v>56</v>
      </c>
      <c r="K37" s="69"/>
      <c r="L37" s="69"/>
      <c r="M37" s="128"/>
      <c r="N37" s="128"/>
      <c r="P37" s="266" t="s">
        <v>79</v>
      </c>
      <c r="Q37" s="266"/>
      <c r="R37" s="266"/>
      <c r="S37" s="266"/>
      <c r="T37" s="266"/>
    </row>
    <row r="38" spans="1:20" ht="106.5" customHeight="1" outlineLevel="1" x14ac:dyDescent="0.2">
      <c r="A38" s="68">
        <v>3</v>
      </c>
      <c r="B38" s="253" t="s">
        <v>250</v>
      </c>
      <c r="C38" s="328"/>
      <c r="D38" s="328"/>
      <c r="E38" s="328"/>
      <c r="F38" s="328"/>
      <c r="G38" s="261" t="s">
        <v>24</v>
      </c>
      <c r="H38" s="255"/>
      <c r="I38" s="97" t="s">
        <v>78</v>
      </c>
      <c r="J38" s="95" t="s">
        <v>56</v>
      </c>
      <c r="K38" s="69"/>
      <c r="L38" s="69"/>
      <c r="M38" s="267"/>
      <c r="N38" s="268"/>
      <c r="P38" s="266" t="s">
        <v>79</v>
      </c>
      <c r="Q38" s="266"/>
      <c r="R38" s="266"/>
      <c r="S38" s="266"/>
      <c r="T38" s="266"/>
    </row>
    <row r="39" spans="1:20" ht="72.75" customHeight="1" outlineLevel="1" x14ac:dyDescent="0.2">
      <c r="A39" s="68">
        <v>4</v>
      </c>
      <c r="B39" s="123" t="s">
        <v>81</v>
      </c>
      <c r="C39" s="328"/>
      <c r="D39" s="328"/>
      <c r="E39" s="328"/>
      <c r="F39" s="328"/>
      <c r="G39" s="263" t="s">
        <v>77</v>
      </c>
      <c r="H39" s="264"/>
      <c r="I39" s="68" t="s">
        <v>78</v>
      </c>
      <c r="J39" s="95" t="s">
        <v>49</v>
      </c>
      <c r="K39" s="69"/>
      <c r="L39" s="69"/>
      <c r="M39" s="267"/>
      <c r="N39" s="268"/>
      <c r="P39" s="266" t="s">
        <v>79</v>
      </c>
      <c r="Q39" s="266"/>
      <c r="R39" s="266"/>
      <c r="S39" s="266"/>
      <c r="T39" s="266"/>
    </row>
    <row r="40" spans="1:20" ht="72.75" customHeight="1" outlineLevel="1" x14ac:dyDescent="0.2">
      <c r="A40" s="68">
        <v>5</v>
      </c>
      <c r="B40" s="253" t="s">
        <v>82</v>
      </c>
      <c r="C40" s="124"/>
      <c r="D40" s="124"/>
      <c r="E40" s="124"/>
      <c r="F40" s="125"/>
      <c r="G40" s="263" t="s">
        <v>77</v>
      </c>
      <c r="H40" s="264"/>
      <c r="I40" s="68" t="s">
        <v>78</v>
      </c>
      <c r="J40" s="95" t="s">
        <v>49</v>
      </c>
      <c r="K40" s="69"/>
      <c r="L40" s="69"/>
      <c r="M40" s="104"/>
      <c r="N40" s="105"/>
      <c r="P40" s="106"/>
      <c r="Q40" s="106"/>
      <c r="R40" s="106"/>
      <c r="S40" s="106"/>
      <c r="T40" s="106"/>
    </row>
    <row r="41" spans="1:20" ht="72.75" customHeight="1" outlineLevel="1" x14ac:dyDescent="0.2">
      <c r="A41" s="68">
        <v>6</v>
      </c>
      <c r="B41" s="253" t="s">
        <v>83</v>
      </c>
      <c r="C41" s="124"/>
      <c r="D41" s="124"/>
      <c r="E41" s="124"/>
      <c r="F41" s="125"/>
      <c r="G41" s="263" t="s">
        <v>77</v>
      </c>
      <c r="H41" s="264"/>
      <c r="I41" s="68" t="s">
        <v>78</v>
      </c>
      <c r="J41" s="95" t="s">
        <v>49</v>
      </c>
      <c r="K41" s="69"/>
      <c r="L41" s="69"/>
      <c r="M41" s="104"/>
      <c r="N41" s="105"/>
      <c r="P41" s="266" t="s">
        <v>79</v>
      </c>
      <c r="Q41" s="266"/>
      <c r="R41" s="266"/>
      <c r="S41" s="266"/>
      <c r="T41" s="266"/>
    </row>
    <row r="42" spans="1:20" ht="113.25" customHeight="1" outlineLevel="1" x14ac:dyDescent="0.2">
      <c r="A42" s="68">
        <v>7</v>
      </c>
      <c r="B42" s="123" t="s">
        <v>84</v>
      </c>
      <c r="C42" s="124"/>
      <c r="D42" s="124"/>
      <c r="E42" s="124"/>
      <c r="F42" s="125"/>
      <c r="G42" s="263" t="s">
        <v>77</v>
      </c>
      <c r="H42" s="264"/>
      <c r="I42" s="68" t="s">
        <v>78</v>
      </c>
      <c r="J42" s="95" t="s">
        <v>49</v>
      </c>
      <c r="K42" s="69"/>
      <c r="L42" s="69"/>
      <c r="M42" s="269"/>
      <c r="N42" s="270"/>
      <c r="P42" s="259" t="s">
        <v>79</v>
      </c>
      <c r="Q42" s="259"/>
      <c r="R42" s="259"/>
      <c r="S42" s="259"/>
      <c r="T42" s="259"/>
    </row>
    <row r="43" spans="1:20" ht="65.25" customHeight="1" outlineLevel="1" x14ac:dyDescent="0.2">
      <c r="A43" s="68">
        <v>8</v>
      </c>
      <c r="B43" s="253" t="s">
        <v>85</v>
      </c>
      <c r="C43" s="124"/>
      <c r="D43" s="124"/>
      <c r="E43" s="124"/>
      <c r="F43" s="125"/>
      <c r="G43" s="263" t="s">
        <v>77</v>
      </c>
      <c r="H43" s="264"/>
      <c r="I43" s="68" t="s">
        <v>78</v>
      </c>
      <c r="J43" s="95" t="s">
        <v>49</v>
      </c>
      <c r="K43" s="69"/>
      <c r="L43" s="69"/>
      <c r="M43" s="267"/>
      <c r="N43" s="268"/>
      <c r="P43" s="266" t="s">
        <v>79</v>
      </c>
      <c r="Q43" s="266"/>
      <c r="R43" s="266"/>
      <c r="S43" s="266"/>
      <c r="T43" s="266"/>
    </row>
    <row r="44" spans="1:20" ht="42.75" customHeight="1" outlineLevel="1" x14ac:dyDescent="0.2">
      <c r="A44" s="68">
        <v>9</v>
      </c>
      <c r="B44" s="123" t="s">
        <v>86</v>
      </c>
      <c r="C44" s="129"/>
      <c r="D44" s="129"/>
      <c r="E44" s="129"/>
      <c r="F44" s="130"/>
      <c r="G44" s="261" t="s">
        <v>87</v>
      </c>
      <c r="H44" s="255"/>
      <c r="I44" s="97" t="s">
        <v>88</v>
      </c>
      <c r="J44" s="95" t="s">
        <v>55</v>
      </c>
      <c r="K44" s="69"/>
      <c r="L44" s="69"/>
      <c r="M44" s="220" t="s">
        <v>89</v>
      </c>
      <c r="N44" s="220"/>
      <c r="P44" s="259" t="s">
        <v>79</v>
      </c>
      <c r="Q44" s="259"/>
      <c r="R44" s="259"/>
      <c r="S44" s="259"/>
      <c r="T44" s="259"/>
    </row>
    <row r="45" spans="1:20" ht="44.25" customHeight="1" outlineLevel="1" x14ac:dyDescent="0.2">
      <c r="A45" s="68">
        <v>10</v>
      </c>
      <c r="B45" s="262" t="s">
        <v>90</v>
      </c>
      <c r="C45" s="129"/>
      <c r="D45" s="129"/>
      <c r="E45" s="129"/>
      <c r="F45" s="130"/>
      <c r="G45" s="263" t="s">
        <v>77</v>
      </c>
      <c r="H45" s="264"/>
      <c r="I45" s="97" t="s">
        <v>78</v>
      </c>
      <c r="J45" s="95" t="s">
        <v>49</v>
      </c>
      <c r="K45" s="69"/>
      <c r="L45" s="69"/>
      <c r="M45" s="252"/>
      <c r="N45" s="252"/>
      <c r="P45" s="259" t="s">
        <v>79</v>
      </c>
      <c r="Q45" s="259"/>
      <c r="R45" s="259"/>
      <c r="S45" s="259"/>
      <c r="T45" s="259"/>
    </row>
    <row r="46" spans="1:20" ht="46.5" customHeight="1" outlineLevel="1" x14ac:dyDescent="0.2">
      <c r="A46" s="68">
        <v>11</v>
      </c>
      <c r="B46" s="262" t="s">
        <v>91</v>
      </c>
      <c r="C46" s="129"/>
      <c r="D46" s="129"/>
      <c r="E46" s="129"/>
      <c r="F46" s="130"/>
      <c r="G46" s="263" t="s">
        <v>77</v>
      </c>
      <c r="H46" s="264"/>
      <c r="I46" s="97" t="s">
        <v>78</v>
      </c>
      <c r="J46" s="95" t="s">
        <v>49</v>
      </c>
      <c r="K46" s="69"/>
      <c r="L46" s="69"/>
      <c r="M46" s="220"/>
      <c r="N46" s="220"/>
      <c r="P46" s="259" t="s">
        <v>79</v>
      </c>
      <c r="Q46" s="259"/>
      <c r="R46" s="259"/>
      <c r="S46" s="259"/>
      <c r="T46" s="259"/>
    </row>
    <row r="47" spans="1:20" ht="49.5" customHeight="1" outlineLevel="1" x14ac:dyDescent="0.2">
      <c r="A47" s="68">
        <v>12</v>
      </c>
      <c r="B47" s="123" t="s">
        <v>92</v>
      </c>
      <c r="C47" s="129"/>
      <c r="D47" s="129"/>
      <c r="E47" s="129"/>
      <c r="F47" s="130"/>
      <c r="G47" s="263" t="s">
        <v>77</v>
      </c>
      <c r="H47" s="264"/>
      <c r="I47" s="97" t="s">
        <v>78</v>
      </c>
      <c r="J47" s="95" t="s">
        <v>59</v>
      </c>
      <c r="K47" s="69"/>
      <c r="L47" s="69"/>
      <c r="M47" s="220" t="s">
        <v>89</v>
      </c>
      <c r="N47" s="220"/>
      <c r="P47" s="259" t="s">
        <v>79</v>
      </c>
      <c r="Q47" s="259"/>
      <c r="R47" s="259"/>
      <c r="S47" s="259"/>
      <c r="T47" s="259"/>
    </row>
    <row r="48" spans="1:20" ht="63.75" customHeight="1" x14ac:dyDescent="0.2">
      <c r="A48" s="68">
        <v>13</v>
      </c>
      <c r="B48" s="123" t="s">
        <v>93</v>
      </c>
      <c r="C48" s="129"/>
      <c r="D48" s="129"/>
      <c r="E48" s="129"/>
      <c r="F48" s="130"/>
      <c r="G48" s="263" t="s">
        <v>77</v>
      </c>
      <c r="H48" s="264"/>
      <c r="I48" s="97" t="s">
        <v>78</v>
      </c>
      <c r="J48" s="95" t="s">
        <v>59</v>
      </c>
      <c r="K48" s="69"/>
      <c r="L48" s="69"/>
      <c r="M48" s="220" t="s">
        <v>89</v>
      </c>
      <c r="N48" s="220"/>
      <c r="P48" s="259" t="s">
        <v>79</v>
      </c>
      <c r="Q48" s="259"/>
      <c r="R48" s="259"/>
      <c r="S48" s="259"/>
      <c r="T48" s="259"/>
    </row>
    <row r="49" spans="1:20" ht="74.25" customHeight="1" x14ac:dyDescent="0.2">
      <c r="A49" s="111">
        <v>14</v>
      </c>
      <c r="B49" s="272" t="s">
        <v>94</v>
      </c>
      <c r="C49" s="273"/>
      <c r="D49" s="273"/>
      <c r="E49" s="273"/>
      <c r="F49" s="274"/>
      <c r="G49" s="275" t="s">
        <v>95</v>
      </c>
      <c r="H49" s="276"/>
      <c r="I49" s="112" t="s">
        <v>96</v>
      </c>
      <c r="J49" s="113" t="s">
        <v>59</v>
      </c>
      <c r="K49" s="114"/>
      <c r="L49" s="114"/>
      <c r="M49" s="279" t="s">
        <v>89</v>
      </c>
      <c r="N49" s="279"/>
      <c r="P49" s="260" t="s">
        <v>79</v>
      </c>
      <c r="Q49" s="260"/>
      <c r="R49" s="260"/>
      <c r="S49" s="260"/>
      <c r="T49" s="260"/>
    </row>
    <row r="50" spans="1:20" ht="53.25" customHeight="1" x14ac:dyDescent="0.2">
      <c r="A50" s="110">
        <v>15</v>
      </c>
      <c r="B50" s="283" t="s">
        <v>97</v>
      </c>
      <c r="C50" s="284"/>
      <c r="D50" s="284"/>
      <c r="E50" s="284"/>
      <c r="F50" s="284"/>
      <c r="G50" s="285" t="s">
        <v>98</v>
      </c>
      <c r="H50" s="286"/>
      <c r="I50" s="98" t="s">
        <v>78</v>
      </c>
      <c r="J50" s="116" t="s">
        <v>56</v>
      </c>
      <c r="K50" s="115"/>
      <c r="L50" s="115"/>
      <c r="M50" s="287"/>
      <c r="N50" s="287"/>
      <c r="O50" s="117"/>
      <c r="P50" s="260" t="s">
        <v>79</v>
      </c>
      <c r="Q50" s="260"/>
      <c r="R50" s="260"/>
      <c r="S50" s="260"/>
      <c r="T50" s="260"/>
    </row>
    <row r="51" spans="1:20" ht="60.75" customHeight="1" x14ac:dyDescent="0.2">
      <c r="A51" s="110">
        <v>16</v>
      </c>
      <c r="B51" s="283" t="s">
        <v>99</v>
      </c>
      <c r="C51" s="284"/>
      <c r="D51" s="284"/>
      <c r="E51" s="284"/>
      <c r="F51" s="284"/>
      <c r="G51" s="285" t="s">
        <v>98</v>
      </c>
      <c r="H51" s="286"/>
      <c r="I51" s="98" t="s">
        <v>78</v>
      </c>
      <c r="J51" s="116" t="s">
        <v>61</v>
      </c>
      <c r="K51" s="115"/>
      <c r="L51" s="115"/>
      <c r="M51" s="287"/>
      <c r="N51" s="287"/>
      <c r="O51" s="117"/>
      <c r="P51" s="260" t="s">
        <v>79</v>
      </c>
      <c r="Q51" s="260"/>
      <c r="R51" s="260"/>
      <c r="S51" s="260"/>
      <c r="T51" s="260"/>
    </row>
    <row r="52" spans="1:20" s="70" customFormat="1" x14ac:dyDescent="0.2">
      <c r="A52" s="23"/>
      <c r="B52" s="23"/>
      <c r="C52" s="23"/>
      <c r="D52" s="23"/>
      <c r="E52" s="23"/>
      <c r="F52" s="23"/>
      <c r="G52" s="23"/>
      <c r="H52" s="23"/>
      <c r="I52" s="23"/>
      <c r="J52" s="23"/>
      <c r="K52" s="23"/>
      <c r="L52" s="23"/>
      <c r="M52" s="23"/>
      <c r="N52" s="23"/>
      <c r="P52" s="288" t="s">
        <v>75</v>
      </c>
      <c r="Q52" s="289"/>
      <c r="R52" s="289"/>
      <c r="S52" s="289"/>
      <c r="T52" s="290"/>
    </row>
    <row r="53" spans="1:20" s="70" customFormat="1" ht="50" customHeight="1" x14ac:dyDescent="0.2">
      <c r="A53" s="67" t="s">
        <v>68</v>
      </c>
      <c r="B53" s="280" t="s">
        <v>69</v>
      </c>
      <c r="C53" s="281"/>
      <c r="D53" s="281"/>
      <c r="E53" s="281"/>
      <c r="F53" s="282"/>
      <c r="G53" s="280" t="s">
        <v>70</v>
      </c>
      <c r="H53" s="282"/>
      <c r="I53" s="66" t="s">
        <v>71</v>
      </c>
      <c r="J53" s="67" t="s">
        <v>44</v>
      </c>
      <c r="K53" s="67" t="s">
        <v>72</v>
      </c>
      <c r="L53" s="67" t="s">
        <v>73</v>
      </c>
      <c r="M53" s="280" t="s">
        <v>74</v>
      </c>
      <c r="N53" s="281"/>
      <c r="P53" s="256" t="s">
        <v>79</v>
      </c>
      <c r="Q53" s="256"/>
      <c r="R53" s="256"/>
      <c r="S53" s="256"/>
      <c r="T53" s="256"/>
    </row>
    <row r="54" spans="1:20" s="70" customFormat="1" ht="50.25" customHeight="1" x14ac:dyDescent="0.2">
      <c r="A54" s="68">
        <v>0</v>
      </c>
      <c r="B54" s="265" t="s">
        <v>100</v>
      </c>
      <c r="C54" s="129"/>
      <c r="D54" s="129"/>
      <c r="E54" s="129"/>
      <c r="F54" s="130"/>
      <c r="G54" s="263" t="s">
        <v>77</v>
      </c>
      <c r="H54" s="264"/>
      <c r="I54" s="97" t="s">
        <v>78</v>
      </c>
      <c r="J54" s="95" t="s">
        <v>49</v>
      </c>
      <c r="K54" s="69"/>
      <c r="L54" s="69"/>
      <c r="M54" s="220" t="s">
        <v>101</v>
      </c>
      <c r="N54" s="220"/>
      <c r="P54" s="256" t="s">
        <v>79</v>
      </c>
      <c r="Q54" s="256"/>
      <c r="R54" s="256"/>
      <c r="S54" s="256"/>
      <c r="T54" s="256"/>
    </row>
    <row r="55" spans="1:20" s="70" customFormat="1" ht="48" customHeight="1" x14ac:dyDescent="0.2">
      <c r="A55" s="68">
        <v>1</v>
      </c>
      <c r="B55" s="253" t="s">
        <v>102</v>
      </c>
      <c r="C55" s="129"/>
      <c r="D55" s="129"/>
      <c r="E55" s="129"/>
      <c r="F55" s="130"/>
      <c r="G55" s="277" t="s">
        <v>103</v>
      </c>
      <c r="H55" s="278"/>
      <c r="I55" s="97" t="s">
        <v>78</v>
      </c>
      <c r="J55" s="95" t="s">
        <v>56</v>
      </c>
      <c r="K55" s="69"/>
      <c r="L55" s="69"/>
      <c r="M55" s="220" t="s">
        <v>101</v>
      </c>
      <c r="N55" s="220"/>
      <c r="P55" s="256" t="s">
        <v>79</v>
      </c>
      <c r="Q55" s="256"/>
      <c r="R55" s="256"/>
      <c r="S55" s="256"/>
      <c r="T55" s="256"/>
    </row>
    <row r="56" spans="1:20" s="70" customFormat="1" ht="89.25" customHeight="1" x14ac:dyDescent="0.2">
      <c r="A56" s="68">
        <v>2</v>
      </c>
      <c r="B56" s="265" t="s">
        <v>104</v>
      </c>
      <c r="C56" s="129"/>
      <c r="D56" s="129"/>
      <c r="E56" s="129"/>
      <c r="F56" s="130"/>
      <c r="G56" s="261" t="s">
        <v>98</v>
      </c>
      <c r="H56" s="255"/>
      <c r="I56" s="97" t="s">
        <v>78</v>
      </c>
      <c r="J56" s="95" t="s">
        <v>56</v>
      </c>
      <c r="K56" s="69"/>
      <c r="L56" s="69"/>
      <c r="M56" s="220" t="s">
        <v>101</v>
      </c>
      <c r="N56" s="220"/>
      <c r="P56" s="256" t="s">
        <v>79</v>
      </c>
      <c r="Q56" s="256"/>
      <c r="R56" s="256"/>
      <c r="S56" s="256"/>
      <c r="T56" s="256"/>
    </row>
    <row r="57" spans="1:20" s="70" customFormat="1" ht="44.25" customHeight="1" x14ac:dyDescent="0.2">
      <c r="A57" s="68">
        <v>3</v>
      </c>
      <c r="B57" s="123" t="s">
        <v>105</v>
      </c>
      <c r="C57" s="129"/>
      <c r="D57" s="129"/>
      <c r="E57" s="129"/>
      <c r="F57" s="130"/>
      <c r="G57" s="261" t="s">
        <v>98</v>
      </c>
      <c r="H57" s="255"/>
      <c r="I57" s="97" t="s">
        <v>78</v>
      </c>
      <c r="J57" s="95" t="s">
        <v>56</v>
      </c>
      <c r="K57" s="69"/>
      <c r="L57" s="69"/>
      <c r="M57" s="220" t="s">
        <v>101</v>
      </c>
      <c r="N57" s="220"/>
      <c r="P57" s="256" t="s">
        <v>79</v>
      </c>
      <c r="Q57" s="256"/>
      <c r="R57" s="256"/>
      <c r="S57" s="256"/>
      <c r="T57" s="256"/>
    </row>
    <row r="58" spans="1:20" s="70" customFormat="1" ht="53.5" customHeight="1" x14ac:dyDescent="0.2">
      <c r="A58" s="68">
        <v>4</v>
      </c>
      <c r="B58" s="265" t="s">
        <v>106</v>
      </c>
      <c r="C58" s="129"/>
      <c r="D58" s="129"/>
      <c r="E58" s="129"/>
      <c r="F58" s="130"/>
      <c r="G58" s="261" t="s">
        <v>107</v>
      </c>
      <c r="H58" s="255"/>
      <c r="I58" s="97" t="s">
        <v>78</v>
      </c>
      <c r="J58" s="95" t="s">
        <v>49</v>
      </c>
      <c r="K58" s="69"/>
      <c r="L58" s="69"/>
      <c r="M58" s="220"/>
      <c r="N58" s="220"/>
      <c r="P58" s="256" t="s">
        <v>79</v>
      </c>
      <c r="Q58" s="256"/>
      <c r="R58" s="256"/>
      <c r="S58" s="256"/>
      <c r="T58" s="256"/>
    </row>
    <row r="59" spans="1:20" s="70" customFormat="1" ht="68" customHeight="1" x14ac:dyDescent="0.2">
      <c r="A59" s="68">
        <v>5</v>
      </c>
      <c r="B59" s="265" t="s">
        <v>108</v>
      </c>
      <c r="C59" s="129"/>
      <c r="D59" s="129"/>
      <c r="E59" s="129"/>
      <c r="F59" s="130"/>
      <c r="G59" s="254" t="s">
        <v>98</v>
      </c>
      <c r="H59" s="255"/>
      <c r="I59" s="97" t="s">
        <v>78</v>
      </c>
      <c r="J59" s="95" t="s">
        <v>56</v>
      </c>
      <c r="K59" s="69"/>
      <c r="L59" s="69"/>
      <c r="M59" s="220"/>
      <c r="N59" s="220"/>
      <c r="P59" s="256" t="s">
        <v>79</v>
      </c>
      <c r="Q59" s="256"/>
      <c r="R59" s="256"/>
      <c r="S59" s="256"/>
      <c r="T59" s="256"/>
    </row>
    <row r="60" spans="1:20" s="70" customFormat="1" ht="87" customHeight="1" x14ac:dyDescent="0.2">
      <c r="A60" s="68">
        <v>6</v>
      </c>
      <c r="B60" s="123" t="s">
        <v>109</v>
      </c>
      <c r="C60" s="129"/>
      <c r="D60" s="129"/>
      <c r="E60" s="129"/>
      <c r="F60" s="130"/>
      <c r="G60" s="254" t="s">
        <v>98</v>
      </c>
      <c r="H60" s="255"/>
      <c r="I60" s="97" t="s">
        <v>78</v>
      </c>
      <c r="J60" s="95" t="s">
        <v>56</v>
      </c>
      <c r="K60" s="69"/>
      <c r="L60" s="69"/>
      <c r="M60" s="220"/>
      <c r="N60" s="220"/>
      <c r="P60" s="256" t="s">
        <v>79</v>
      </c>
      <c r="Q60" s="256"/>
      <c r="R60" s="256"/>
      <c r="S60" s="256"/>
      <c r="T60" s="256"/>
    </row>
    <row r="61" spans="1:20" s="70" customFormat="1" ht="64.5" customHeight="1" x14ac:dyDescent="0.2">
      <c r="A61" s="68">
        <v>7</v>
      </c>
      <c r="B61" s="123" t="s">
        <v>110</v>
      </c>
      <c r="C61" s="124"/>
      <c r="D61" s="124"/>
      <c r="E61" s="124"/>
      <c r="F61" s="125"/>
      <c r="G61" s="254" t="s">
        <v>98</v>
      </c>
      <c r="H61" s="255"/>
      <c r="I61" s="97" t="s">
        <v>78</v>
      </c>
      <c r="J61" s="95" t="s">
        <v>56</v>
      </c>
      <c r="K61" s="69"/>
      <c r="L61" s="69"/>
      <c r="M61" s="220"/>
      <c r="N61" s="220"/>
      <c r="P61" s="256" t="s">
        <v>79</v>
      </c>
      <c r="Q61" s="256"/>
      <c r="R61" s="256"/>
      <c r="S61" s="256"/>
      <c r="T61" s="256"/>
    </row>
    <row r="62" spans="1:20" s="70" customFormat="1" ht="104.25" customHeight="1" x14ac:dyDescent="0.2">
      <c r="A62" s="68">
        <v>8</v>
      </c>
      <c r="B62" s="123" t="s">
        <v>111</v>
      </c>
      <c r="C62" s="124"/>
      <c r="D62" s="124"/>
      <c r="E62" s="124"/>
      <c r="F62" s="125"/>
      <c r="G62" s="254" t="s">
        <v>98</v>
      </c>
      <c r="H62" s="255"/>
      <c r="I62" s="97" t="s">
        <v>78</v>
      </c>
      <c r="J62" s="95" t="s">
        <v>112</v>
      </c>
      <c r="K62" s="69"/>
      <c r="L62" s="69"/>
      <c r="M62" s="220"/>
      <c r="N62" s="220"/>
      <c r="P62" s="256" t="s">
        <v>79</v>
      </c>
      <c r="Q62" s="256"/>
      <c r="R62" s="256"/>
      <c r="S62" s="256"/>
      <c r="T62" s="256"/>
    </row>
    <row r="63" spans="1:20" s="70" customFormat="1" ht="51.75" customHeight="1" x14ac:dyDescent="0.2">
      <c r="A63" s="68">
        <v>9</v>
      </c>
      <c r="B63" s="253" t="s">
        <v>113</v>
      </c>
      <c r="C63" s="129"/>
      <c r="D63" s="129"/>
      <c r="E63" s="129"/>
      <c r="F63" s="130"/>
      <c r="G63" s="254" t="s">
        <v>114</v>
      </c>
      <c r="H63" s="255"/>
      <c r="I63" s="97" t="s">
        <v>96</v>
      </c>
      <c r="J63" s="95" t="s">
        <v>115</v>
      </c>
      <c r="K63" s="69"/>
      <c r="L63" s="69"/>
      <c r="M63" s="220" t="s">
        <v>116</v>
      </c>
      <c r="N63" s="220"/>
      <c r="P63" s="256" t="s">
        <v>79</v>
      </c>
      <c r="Q63" s="256"/>
      <c r="R63" s="256"/>
      <c r="S63" s="256"/>
      <c r="T63" s="256"/>
    </row>
    <row r="64" spans="1:20" s="70" customFormat="1" ht="71.5" customHeight="1" x14ac:dyDescent="0.2">
      <c r="A64" s="102">
        <v>16</v>
      </c>
      <c r="B64" s="265" t="s">
        <v>117</v>
      </c>
      <c r="C64" s="129"/>
      <c r="D64" s="129"/>
      <c r="E64" s="129"/>
      <c r="F64" s="130"/>
      <c r="G64" s="261" t="s">
        <v>118</v>
      </c>
      <c r="H64" s="255"/>
      <c r="I64" s="97" t="s">
        <v>119</v>
      </c>
      <c r="J64" s="99" t="s">
        <v>63</v>
      </c>
      <c r="K64" s="69"/>
      <c r="L64" s="69"/>
      <c r="M64" s="220" t="s">
        <v>120</v>
      </c>
      <c r="N64" s="220"/>
      <c r="P64" s="256" t="s">
        <v>79</v>
      </c>
      <c r="Q64" s="256"/>
      <c r="R64" s="256"/>
      <c r="S64" s="256"/>
      <c r="T64" s="256"/>
    </row>
    <row r="65" spans="1:20" ht="186.75" customHeight="1" x14ac:dyDescent="0.2">
      <c r="A65" s="102">
        <v>17</v>
      </c>
      <c r="B65" s="271" t="s">
        <v>121</v>
      </c>
      <c r="C65" s="124"/>
      <c r="D65" s="124"/>
      <c r="E65" s="124"/>
      <c r="F65" s="125"/>
      <c r="G65" s="257" t="s">
        <v>118</v>
      </c>
      <c r="H65" s="258"/>
      <c r="I65" s="98" t="s">
        <v>122</v>
      </c>
      <c r="J65" s="99" t="s">
        <v>63</v>
      </c>
      <c r="K65" s="100"/>
      <c r="L65" s="100"/>
      <c r="M65" s="252"/>
      <c r="N65" s="252"/>
      <c r="O65" s="101"/>
      <c r="P65" s="256" t="s">
        <v>79</v>
      </c>
      <c r="Q65" s="256"/>
      <c r="R65" s="256"/>
      <c r="S65" s="256"/>
      <c r="T65" s="256"/>
    </row>
    <row r="66" spans="1:20" ht="67.5" customHeight="1" x14ac:dyDescent="0.2">
      <c r="A66" s="102">
        <v>16</v>
      </c>
      <c r="B66" s="123" t="s">
        <v>123</v>
      </c>
      <c r="C66" s="124"/>
      <c r="D66" s="124"/>
      <c r="E66" s="124"/>
      <c r="F66" s="125"/>
      <c r="G66" s="257" t="s">
        <v>98</v>
      </c>
      <c r="H66" s="258"/>
      <c r="I66" s="98" t="s">
        <v>78</v>
      </c>
      <c r="J66" s="99" t="s">
        <v>112</v>
      </c>
      <c r="K66" s="100"/>
      <c r="L66" s="100"/>
      <c r="M66" s="252"/>
      <c r="N66" s="252"/>
      <c r="O66" s="101"/>
      <c r="P66" s="256" t="s">
        <v>79</v>
      </c>
      <c r="Q66" s="256"/>
      <c r="R66" s="256"/>
      <c r="S66" s="256"/>
      <c r="T66" s="256"/>
    </row>
    <row r="67" spans="1:20" ht="107.25" customHeight="1" x14ac:dyDescent="0.2">
      <c r="A67" s="102">
        <v>17</v>
      </c>
      <c r="B67" s="123" t="s">
        <v>124</v>
      </c>
      <c r="C67" s="124"/>
      <c r="D67" s="124"/>
      <c r="E67" s="124"/>
      <c r="F67" s="125"/>
      <c r="G67" s="119"/>
      <c r="H67" s="120"/>
      <c r="I67" s="98"/>
      <c r="J67" s="99"/>
      <c r="K67" s="100"/>
      <c r="L67" s="100"/>
      <c r="M67" s="252"/>
      <c r="N67" s="252"/>
      <c r="O67" s="101"/>
      <c r="P67" s="256" t="s">
        <v>79</v>
      </c>
      <c r="Q67" s="256"/>
      <c r="R67" s="256"/>
      <c r="S67" s="256"/>
      <c r="T67" s="256"/>
    </row>
    <row r="68" spans="1:20" ht="75.75" customHeight="1" x14ac:dyDescent="0.2">
      <c r="A68" s="102">
        <v>18</v>
      </c>
      <c r="B68" s="123" t="s">
        <v>125</v>
      </c>
      <c r="C68" s="124"/>
      <c r="D68" s="124"/>
      <c r="E68" s="124"/>
      <c r="F68" s="125"/>
      <c r="G68" s="257" t="s">
        <v>98</v>
      </c>
      <c r="H68" s="258"/>
      <c r="I68" s="98" t="s">
        <v>78</v>
      </c>
      <c r="J68" s="99" t="s">
        <v>112</v>
      </c>
      <c r="K68" s="100"/>
      <c r="L68" s="100"/>
      <c r="M68" s="252"/>
      <c r="N68" s="252"/>
      <c r="O68" s="101"/>
      <c r="P68" s="256" t="s">
        <v>79</v>
      </c>
      <c r="Q68" s="256"/>
      <c r="R68" s="256"/>
      <c r="S68" s="256"/>
      <c r="T68" s="256"/>
    </row>
    <row r="69" spans="1:20" ht="39" customHeight="1" x14ac:dyDescent="0.2">
      <c r="A69" s="102">
        <v>18</v>
      </c>
      <c r="B69" s="123" t="s">
        <v>126</v>
      </c>
      <c r="C69" s="124"/>
      <c r="D69" s="124"/>
      <c r="E69" s="124"/>
      <c r="F69" s="125"/>
      <c r="G69" s="257" t="s">
        <v>98</v>
      </c>
      <c r="H69" s="258"/>
      <c r="I69" s="97" t="s">
        <v>78</v>
      </c>
      <c r="J69" s="99" t="s">
        <v>112</v>
      </c>
      <c r="K69" s="100"/>
      <c r="L69" s="100"/>
      <c r="M69" s="252"/>
      <c r="N69" s="252"/>
      <c r="P69" s="256" t="s">
        <v>79</v>
      </c>
      <c r="Q69" s="256"/>
      <c r="R69" s="256"/>
      <c r="S69" s="256"/>
      <c r="T69" s="256"/>
    </row>
    <row r="70" spans="1:20" ht="95.25" customHeight="1" x14ac:dyDescent="0.2">
      <c r="A70" s="102">
        <v>19</v>
      </c>
      <c r="B70" s="123" t="s">
        <v>127</v>
      </c>
      <c r="C70" s="124"/>
      <c r="D70" s="124"/>
      <c r="E70" s="124"/>
      <c r="F70" s="125"/>
      <c r="G70" s="257" t="s">
        <v>98</v>
      </c>
      <c r="H70" s="258"/>
      <c r="I70" s="98" t="s">
        <v>78</v>
      </c>
      <c r="J70" s="99" t="s">
        <v>59</v>
      </c>
      <c r="K70" s="100"/>
      <c r="L70" s="100"/>
      <c r="M70" s="252"/>
      <c r="N70" s="252"/>
      <c r="P70" s="256" t="s">
        <v>79</v>
      </c>
      <c r="Q70" s="256"/>
      <c r="R70" s="256"/>
      <c r="S70" s="256"/>
      <c r="T70" s="256"/>
    </row>
    <row r="71" spans="1:20" ht="33.75" customHeight="1" x14ac:dyDescent="0.2">
      <c r="A71" s="102">
        <v>20</v>
      </c>
      <c r="B71" s="123" t="s">
        <v>128</v>
      </c>
      <c r="C71" s="124"/>
      <c r="D71" s="124"/>
      <c r="E71" s="124"/>
      <c r="F71" s="125"/>
      <c r="G71" s="257" t="s">
        <v>98</v>
      </c>
      <c r="H71" s="258"/>
      <c r="I71" s="98" t="s">
        <v>78</v>
      </c>
      <c r="J71" s="99" t="s">
        <v>112</v>
      </c>
      <c r="K71" s="100"/>
      <c r="L71" s="100"/>
      <c r="M71" s="252"/>
      <c r="N71" s="252"/>
      <c r="P71" s="256" t="s">
        <v>79</v>
      </c>
      <c r="Q71" s="256"/>
      <c r="R71" s="256"/>
      <c r="S71" s="256"/>
      <c r="T71" s="256"/>
    </row>
    <row r="72" spans="1:20" ht="36" customHeight="1" x14ac:dyDescent="0.2">
      <c r="A72" s="102">
        <v>21</v>
      </c>
      <c r="B72" s="123" t="s">
        <v>129</v>
      </c>
      <c r="C72" s="124"/>
      <c r="D72" s="124"/>
      <c r="E72" s="124"/>
      <c r="F72" s="125"/>
      <c r="G72" s="257" t="s">
        <v>98</v>
      </c>
      <c r="H72" s="258"/>
      <c r="I72" s="98" t="s">
        <v>78</v>
      </c>
      <c r="J72" s="99" t="s">
        <v>112</v>
      </c>
      <c r="K72" s="100"/>
      <c r="L72" s="100"/>
      <c r="M72" s="252"/>
      <c r="N72" s="252"/>
      <c r="P72" s="256" t="s">
        <v>79</v>
      </c>
      <c r="Q72" s="256"/>
      <c r="R72" s="256"/>
      <c r="S72" s="256"/>
      <c r="T72" s="256"/>
    </row>
    <row r="73" spans="1:20" ht="39.75" customHeight="1" x14ac:dyDescent="0.2">
      <c r="A73" s="107">
        <v>22</v>
      </c>
      <c r="B73" s="108" t="s">
        <v>130</v>
      </c>
      <c r="C73" s="109"/>
      <c r="D73" s="109"/>
      <c r="E73" s="109"/>
      <c r="F73" s="109"/>
      <c r="G73" s="250" t="s">
        <v>87</v>
      </c>
      <c r="H73" s="251"/>
      <c r="I73" s="98" t="s">
        <v>88</v>
      </c>
      <c r="J73" s="99" t="s">
        <v>55</v>
      </c>
      <c r="K73" s="100"/>
      <c r="L73" s="100"/>
      <c r="M73" s="252" t="s">
        <v>89</v>
      </c>
      <c r="N73" s="252"/>
    </row>
    <row r="74" spans="1:20" ht="46.5" customHeight="1" x14ac:dyDescent="0.2">
      <c r="A74" s="118"/>
    </row>
  </sheetData>
  <sheetProtection algorithmName="SHA-512" hashValue="w/P0vFkxyCjnmCP0mBcyobJzWP+N7e/bKZ77KORSMd6tVHtAoEas1U2ljfgq+3yS7m4RPHCkyQI4vVLo6Est/A==" saltValue="4N+YaUbWVLeIi/EYIxXNsA==" spinCount="100000" sheet="1" formatCells="0" formatColumns="0" formatRows="0" insertColumns="0" insertRows="0" insertHyperlinks="0" deleteColumns="0" deleteRows="0" selectLockedCells="1" sort="0" autoFilter="0" pivotTables="0"/>
  <sortState xmlns:xlrd2="http://schemas.microsoft.com/office/spreadsheetml/2017/richdata2" ref="D21:D28">
    <sortCondition ref="D21:D28"/>
  </sortState>
  <mergeCells count="204">
    <mergeCell ref="M43:N43"/>
    <mergeCell ref="B36:F36"/>
    <mergeCell ref="M35:N35"/>
    <mergeCell ref="B31:D31"/>
    <mergeCell ref="B39:F39"/>
    <mergeCell ref="G39:H39"/>
    <mergeCell ref="M38:N38"/>
    <mergeCell ref="G38:H38"/>
    <mergeCell ref="F31:G31"/>
    <mergeCell ref="G37:H37"/>
    <mergeCell ref="M37:N37"/>
    <mergeCell ref="B37:F37"/>
    <mergeCell ref="B35:F35"/>
    <mergeCell ref="B41:F41"/>
    <mergeCell ref="G41:H41"/>
    <mergeCell ref="B40:F40"/>
    <mergeCell ref="G40:H40"/>
    <mergeCell ref="B38:F38"/>
    <mergeCell ref="P43:T43"/>
    <mergeCell ref="B43:F43"/>
    <mergeCell ref="G43:H43"/>
    <mergeCell ref="J8:N8"/>
    <mergeCell ref="B19:D19"/>
    <mergeCell ref="B21:D21"/>
    <mergeCell ref="B20:D20"/>
    <mergeCell ref="A11:A14"/>
    <mergeCell ref="C14:D14"/>
    <mergeCell ref="G15:H15"/>
    <mergeCell ref="B8:D8"/>
    <mergeCell ref="B10:D10"/>
    <mergeCell ref="C13:D13"/>
    <mergeCell ref="B15:D15"/>
    <mergeCell ref="C11:D11"/>
    <mergeCell ref="C12:D12"/>
    <mergeCell ref="G13:H13"/>
    <mergeCell ref="G10:H10"/>
    <mergeCell ref="F21:G21"/>
    <mergeCell ref="P8:T8"/>
    <mergeCell ref="P9:T13"/>
    <mergeCell ref="P35:T35"/>
    <mergeCell ref="P36:T36"/>
    <mergeCell ref="P37:T37"/>
    <mergeCell ref="F19:G20"/>
    <mergeCell ref="H24:J24"/>
    <mergeCell ref="H25:J25"/>
    <mergeCell ref="B25:D25"/>
    <mergeCell ref="B22:D22"/>
    <mergeCell ref="F24:G24"/>
    <mergeCell ref="H19:J20"/>
    <mergeCell ref="G35:H35"/>
    <mergeCell ref="P38:T38"/>
    <mergeCell ref="F22:G22"/>
    <mergeCell ref="F23:G23"/>
    <mergeCell ref="F29:G29"/>
    <mergeCell ref="H29:J29"/>
    <mergeCell ref="F25:G25"/>
    <mergeCell ref="M36:N36"/>
    <mergeCell ref="H22:J22"/>
    <mergeCell ref="H23:J23"/>
    <mergeCell ref="H27:J27"/>
    <mergeCell ref="P62:T62"/>
    <mergeCell ref="G8:H8"/>
    <mergeCell ref="B24:D24"/>
    <mergeCell ref="B9:D9"/>
    <mergeCell ref="G36:H36"/>
    <mergeCell ref="H28:J28"/>
    <mergeCell ref="F26:G26"/>
    <mergeCell ref="F27:G27"/>
    <mergeCell ref="F28:G28"/>
    <mergeCell ref="B26:D26"/>
    <mergeCell ref="B29:D29"/>
    <mergeCell ref="B30:D30"/>
    <mergeCell ref="F30:G30"/>
    <mergeCell ref="H30:J30"/>
    <mergeCell ref="B27:D27"/>
    <mergeCell ref="B28:D28"/>
    <mergeCell ref="A33:N33"/>
    <mergeCell ref="H21:J21"/>
    <mergeCell ref="H26:J26"/>
    <mergeCell ref="G11:H11"/>
    <mergeCell ref="B23:D23"/>
    <mergeCell ref="G9:H9"/>
    <mergeCell ref="A17:N17"/>
    <mergeCell ref="J9:N13"/>
    <mergeCell ref="P50:T50"/>
    <mergeCell ref="M63:N63"/>
    <mergeCell ref="P52:T52"/>
    <mergeCell ref="P53:T53"/>
    <mergeCell ref="B61:F61"/>
    <mergeCell ref="G61:H61"/>
    <mergeCell ref="M61:N61"/>
    <mergeCell ref="B60:F60"/>
    <mergeCell ref="G60:H60"/>
    <mergeCell ref="M60:N60"/>
    <mergeCell ref="P60:T60"/>
    <mergeCell ref="P57:T57"/>
    <mergeCell ref="B58:F58"/>
    <mergeCell ref="M58:N58"/>
    <mergeCell ref="P58:T58"/>
    <mergeCell ref="B56:F56"/>
    <mergeCell ref="G56:H56"/>
    <mergeCell ref="G58:H58"/>
    <mergeCell ref="B54:F54"/>
    <mergeCell ref="G54:H54"/>
    <mergeCell ref="M54:N54"/>
    <mergeCell ref="B62:F62"/>
    <mergeCell ref="G62:H62"/>
    <mergeCell ref="M62:N62"/>
    <mergeCell ref="P55:T55"/>
    <mergeCell ref="B48:F48"/>
    <mergeCell ref="G48:H48"/>
    <mergeCell ref="M48:N48"/>
    <mergeCell ref="M56:N56"/>
    <mergeCell ref="P56:T56"/>
    <mergeCell ref="B59:F59"/>
    <mergeCell ref="G59:H59"/>
    <mergeCell ref="M59:N59"/>
    <mergeCell ref="P59:T59"/>
    <mergeCell ref="B57:F57"/>
    <mergeCell ref="G57:H57"/>
    <mergeCell ref="M49:N49"/>
    <mergeCell ref="P54:T54"/>
    <mergeCell ref="M53:N53"/>
    <mergeCell ref="B53:F53"/>
    <mergeCell ref="G53:H53"/>
    <mergeCell ref="B51:F51"/>
    <mergeCell ref="G51:H51"/>
    <mergeCell ref="M51:N51"/>
    <mergeCell ref="P51:T51"/>
    <mergeCell ref="B50:F50"/>
    <mergeCell ref="G50:H50"/>
    <mergeCell ref="M50:N50"/>
    <mergeCell ref="M47:N47"/>
    <mergeCell ref="P41:T41"/>
    <mergeCell ref="M39:N39"/>
    <mergeCell ref="P39:T39"/>
    <mergeCell ref="B42:F42"/>
    <mergeCell ref="G42:H42"/>
    <mergeCell ref="M42:N42"/>
    <mergeCell ref="P42:T42"/>
    <mergeCell ref="B71:F71"/>
    <mergeCell ref="G71:H71"/>
    <mergeCell ref="M71:N71"/>
    <mergeCell ref="P71:T71"/>
    <mergeCell ref="M64:N64"/>
    <mergeCell ref="P64:T64"/>
    <mergeCell ref="B65:F65"/>
    <mergeCell ref="G65:H65"/>
    <mergeCell ref="M65:N65"/>
    <mergeCell ref="B45:F45"/>
    <mergeCell ref="G45:H45"/>
    <mergeCell ref="B49:F49"/>
    <mergeCell ref="G49:H49"/>
    <mergeCell ref="B55:F55"/>
    <mergeCell ref="G55:H55"/>
    <mergeCell ref="M55:N55"/>
    <mergeCell ref="M70:N70"/>
    <mergeCell ref="P44:T44"/>
    <mergeCell ref="P45:T45"/>
    <mergeCell ref="P46:T46"/>
    <mergeCell ref="P47:T47"/>
    <mergeCell ref="P48:T48"/>
    <mergeCell ref="P49:T49"/>
    <mergeCell ref="M45:N45"/>
    <mergeCell ref="B66:F66"/>
    <mergeCell ref="G66:H66"/>
    <mergeCell ref="P65:T65"/>
    <mergeCell ref="P63:T63"/>
    <mergeCell ref="B44:F44"/>
    <mergeCell ref="G44:H44"/>
    <mergeCell ref="M44:N44"/>
    <mergeCell ref="B46:F46"/>
    <mergeCell ref="G46:H46"/>
    <mergeCell ref="M46:N46"/>
    <mergeCell ref="B64:F64"/>
    <mergeCell ref="G64:H64"/>
    <mergeCell ref="P61:T61"/>
    <mergeCell ref="M57:N57"/>
    <mergeCell ref="B47:F47"/>
    <mergeCell ref="G47:H47"/>
    <mergeCell ref="G73:H73"/>
    <mergeCell ref="M73:N73"/>
    <mergeCell ref="B63:F63"/>
    <mergeCell ref="G63:H63"/>
    <mergeCell ref="M67:N67"/>
    <mergeCell ref="P66:T66"/>
    <mergeCell ref="P67:T67"/>
    <mergeCell ref="P68:T68"/>
    <mergeCell ref="B67:F67"/>
    <mergeCell ref="B68:F68"/>
    <mergeCell ref="G68:H68"/>
    <mergeCell ref="M66:N66"/>
    <mergeCell ref="M68:N68"/>
    <mergeCell ref="B72:F72"/>
    <mergeCell ref="G72:H72"/>
    <mergeCell ref="M72:N72"/>
    <mergeCell ref="P72:T72"/>
    <mergeCell ref="P69:T69"/>
    <mergeCell ref="P70:T70"/>
    <mergeCell ref="B69:F69"/>
    <mergeCell ref="G69:H69"/>
    <mergeCell ref="M69:N69"/>
    <mergeCell ref="B70:F70"/>
    <mergeCell ref="G70:H70"/>
  </mergeCells>
  <phoneticPr fontId="23" type="noConversion"/>
  <conditionalFormatting sqref="P36:T51 P53:T72">
    <cfRule type="cellIs" dxfId="11" priority="10" operator="equal">
      <formula>"En espera"</formula>
    </cfRule>
    <cfRule type="cellIs" dxfId="10" priority="11" operator="equal">
      <formula>"Completado"</formula>
    </cfRule>
    <cfRule type="cellIs" dxfId="9" priority="12" operator="equal">
      <formula>"Error"</formula>
    </cfRule>
  </conditionalFormatting>
  <dataValidations count="7">
    <dataValidation type="list" allowBlank="1" showInputMessage="1" showErrorMessage="1" sqref="G13:I14" xr:uid="{B9D799AB-223E-465C-B047-81A193F2233E}">
      <formula1>"Selecciona,Si,No"</formula1>
    </dataValidation>
    <dataValidation type="list" allowBlank="1" showInputMessage="1" showErrorMessage="1" sqref="G12:I12" xr:uid="{E9CF1703-F382-449D-8679-2550FAC61A26}">
      <formula1>"Selecciona,Alto,Medio,Bajo"</formula1>
    </dataValidation>
    <dataValidation type="list" allowBlank="1" showInputMessage="1" showErrorMessage="1" sqref="G8:I11" xr:uid="{F00F5EBF-EC60-4875-9FA2-D8268971A6EC}">
      <formula1>"Selecciona,Normal,Estandar,Emergente"</formula1>
    </dataValidation>
    <dataValidation type="list" allowBlank="1" showInputMessage="1" showErrorMessage="1" sqref="B15:D15" xr:uid="{B5A603CB-D0BA-4DC7-8C8D-4AD84E7F1BFB}">
      <formula1>"Selecciona,PROD,QA1,QA2,QA3"</formula1>
    </dataValidation>
    <dataValidation type="list" allowBlank="1" showInputMessage="1" showErrorMessage="1" sqref="J57:J61 J37:J43" xr:uid="{DCF48AC0-6370-43F6-BE57-797ADB2909E1}">
      <formula1>$E$20:$E$28</formula1>
    </dataValidation>
    <dataValidation type="list" allowBlank="1" showInputMessage="1" showErrorMessage="1" sqref="P53:T61 P36:T47" xr:uid="{9BEE80EE-6B77-4D95-873C-4FA96C68989A}">
      <formula1>"En espera, Completado, Error,En Proceso"</formula1>
    </dataValidation>
    <dataValidation type="list" allowBlank="1" showInputMessage="1" showErrorMessage="1" sqref="J36" xr:uid="{1D8EDCE4-7EEF-4B25-B34D-88379BF7B00D}">
      <formula1>$E$20:$E$31</formula1>
    </dataValidation>
  </dataValidations>
  <hyperlinks>
    <hyperlink ref="G55:H55" r:id="rId1" display="https://pos-service-back-qa3.macropay.mx" xr:uid="{AC5F6F1E-C1BE-407A-9A5F-10BB4BFAD079}"/>
    <hyperlink ref="G55" r:id="rId2" display="https://pxprd.macropay.mx" xr:uid="{9885D49E-AE54-44FD-8993-4DECBDB09D1C}"/>
  </hyperlinks>
  <pageMargins left="0.7" right="0.7" top="0.75" bottom="0.75" header="0.3" footer="0.3"/>
  <pageSetup orientation="portrait" r:id="rId3"/>
  <drawing r:id="rId4"/>
  <extLst>
    <ext xmlns:x14="http://schemas.microsoft.com/office/spreadsheetml/2009/9/main" uri="{CCE6A557-97BC-4b89-ADB6-D9C93CAAB3DF}">
      <x14:dataValidations xmlns:xm="http://schemas.microsoft.com/office/excel/2006/main" count="5">
        <x14:dataValidation type="list" allowBlank="1" showInputMessage="1" showErrorMessage="1" xr:uid="{9669C562-E3AE-464A-B2DA-4BB243FF1779}">
          <x14:formula1>
            <xm:f>Lista!$B$5:$B$10</xm:f>
          </x14:formula1>
          <xm:sqref>F21:J21</xm:sqref>
        </x14:dataValidation>
        <x14:dataValidation type="list" allowBlank="1" showInputMessage="1" showErrorMessage="1" xr:uid="{8A7A9BF0-4D83-40CF-A0E3-6FA4CAF92435}">
          <x14:formula1>
            <xm:f>Lista!$D$5:$D$9</xm:f>
          </x14:formula1>
          <xm:sqref>F23:J23</xm:sqref>
        </x14:dataValidation>
        <x14:dataValidation type="list" allowBlank="1" showInputMessage="1" showErrorMessage="1" xr:uid="{8D1AFC31-68E4-46B8-BA82-57D9CB661F78}">
          <x14:formula1>
            <xm:f>Lista!$F$5:$F$17</xm:f>
          </x14:formula1>
          <xm:sqref>F25:J25</xm:sqref>
        </x14:dataValidation>
        <x14:dataValidation type="list" allowBlank="1" showInputMessage="1" showErrorMessage="1" xr:uid="{B18927F2-A610-43FC-A650-4831BE4A03EB}">
          <x14:formula1>
            <xm:f>Lista!$G$5:$G$8</xm:f>
          </x14:formula1>
          <xm:sqref>F26:J26</xm:sqref>
        </x14:dataValidation>
        <x14:dataValidation type="list" allowBlank="1" showInputMessage="1" showErrorMessage="1" xr:uid="{CAA8325B-A374-4BCD-842E-F0485B95F4CA}">
          <x14:formula1>
            <xm:f>Lista!$H$5:$H$13</xm:f>
          </x14:formula1>
          <xm:sqref>F27:J27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C3F36-3B98-498F-81BF-52045D9381D4}">
  <dimension ref="A8:M29"/>
  <sheetViews>
    <sheetView showGridLines="0" zoomScale="55" zoomScaleNormal="55" zoomScalePageLayoutView="85" workbookViewId="0">
      <selection activeCell="R21" sqref="R21"/>
    </sheetView>
  </sheetViews>
  <sheetFormatPr baseColWidth="10" defaultColWidth="10.83203125" defaultRowHeight="15" x14ac:dyDescent="0.2"/>
  <cols>
    <col min="1" max="1" width="29.5" style="1" customWidth="1"/>
    <col min="2" max="2" width="26.1640625" style="1" customWidth="1"/>
    <col min="3" max="3" width="10.83203125" style="1"/>
    <col min="4" max="4" width="16.5" style="1" customWidth="1"/>
    <col min="5" max="5" width="10.5" style="1" customWidth="1"/>
    <col min="6" max="6" width="25.5" style="1" customWidth="1"/>
    <col min="7" max="7" width="14.5" style="1" customWidth="1"/>
    <col min="8" max="8" width="10.5" style="1" customWidth="1"/>
    <col min="9" max="10" width="14.5" style="1" customWidth="1"/>
    <col min="11" max="12" width="10.83203125" style="1" customWidth="1"/>
    <col min="13" max="13" width="16.5" style="1" customWidth="1"/>
    <col min="14" max="16384" width="10.83203125" style="1"/>
  </cols>
  <sheetData>
    <row r="8" spans="1:13" ht="30" customHeight="1" x14ac:dyDescent="0.2">
      <c r="A8" s="5" t="str">
        <f>EV.RIESGO!A8</f>
        <v>ID del proyecto:</v>
      </c>
      <c r="B8" s="341" t="str">
        <f>EV.RIESGO!B8</f>
        <v>com001-pe26 | td029-bf26</v>
      </c>
      <c r="C8" s="342"/>
      <c r="D8" s="343"/>
      <c r="E8" s="6"/>
      <c r="F8" s="7" t="str">
        <f>EV.RIESGO!F8</f>
        <v>Tipo de Cambio:</v>
      </c>
      <c r="G8" s="350" t="str">
        <f>EV.RIESGO!G8</f>
        <v>Normal</v>
      </c>
      <c r="H8" s="350"/>
      <c r="I8" s="346" t="str">
        <f>EV.RIESGO!I8</f>
        <v>Comentarios adicionales.</v>
      </c>
      <c r="J8" s="347"/>
      <c r="K8" s="347"/>
      <c r="L8" s="347"/>
      <c r="M8" s="348"/>
    </row>
    <row r="9" spans="1:13" ht="30" customHeight="1" x14ac:dyDescent="0.2">
      <c r="A9" s="5" t="str">
        <f>EV.RIESGO!A9</f>
        <v>Nombre del proyecto</v>
      </c>
      <c r="B9" s="341" t="str">
        <f>EV.RIESGO!B9</f>
        <v>Club Macropay | Compras con Macropesos no descuentan los Macropesos usados a los  clientes</v>
      </c>
      <c r="C9" s="342"/>
      <c r="D9" s="343"/>
      <c r="E9" s="6"/>
      <c r="F9" s="7" t="str">
        <f>EV.RIESGO!F9</f>
        <v>Prioridad:</v>
      </c>
      <c r="G9" s="350" t="str">
        <f>EV.RIESGO!G9</f>
        <v>Alta</v>
      </c>
      <c r="H9" s="350"/>
      <c r="I9" s="349"/>
      <c r="J9" s="349"/>
      <c r="K9" s="349"/>
      <c r="L9" s="349"/>
      <c r="M9" s="349"/>
    </row>
    <row r="10" spans="1:13" ht="30" customHeight="1" x14ac:dyDescent="0.2">
      <c r="A10" s="5" t="str">
        <f>EV.RIESGO!A10</f>
        <v>Plataformas impactadas:</v>
      </c>
      <c r="B10" s="341" t="str">
        <f>EV.RIESGO!B10</f>
        <v>PF, POS, APP, Mulesfort, Salesforce, Infobip</v>
      </c>
      <c r="C10" s="342"/>
      <c r="D10" s="343"/>
      <c r="E10" s="8"/>
      <c r="F10" s="7" t="str">
        <f>EV.RIESGO!F10</f>
        <v>Riesgo:</v>
      </c>
      <c r="G10" s="350" t="str">
        <f>EV.RIESGO!G10</f>
        <v>Medio</v>
      </c>
      <c r="H10" s="350"/>
      <c r="I10" s="349"/>
      <c r="J10" s="349"/>
      <c r="K10" s="349"/>
      <c r="L10" s="349"/>
      <c r="M10" s="349"/>
    </row>
    <row r="11" spans="1:13" ht="30" customHeight="1" x14ac:dyDescent="0.2">
      <c r="A11" s="331" t="str">
        <f>EV.RIESGO!A11</f>
        <v>Líder del Cambio:</v>
      </c>
      <c r="B11" s="71" t="str">
        <f>EV.RIESGO!B11</f>
        <v>Arquitecto</v>
      </c>
      <c r="C11" s="344" t="str">
        <f>EV.RIESGO!C11</f>
        <v>Henry Suárez Hernández/Jonathan Mauricio López</v>
      </c>
      <c r="D11" s="344"/>
      <c r="E11" s="8"/>
      <c r="F11" s="7" t="str">
        <f>EV.RIESGO!F11</f>
        <v>Afecta la operación:</v>
      </c>
      <c r="G11" s="350" t="str">
        <f>EV.RIESGO!G11</f>
        <v>Si</v>
      </c>
      <c r="H11" s="350"/>
      <c r="I11" s="349"/>
      <c r="J11" s="349"/>
      <c r="K11" s="349"/>
      <c r="L11" s="349"/>
      <c r="M11" s="349"/>
    </row>
    <row r="12" spans="1:13" ht="30" customHeight="1" x14ac:dyDescent="0.2">
      <c r="A12" s="332"/>
      <c r="B12" s="71" t="str">
        <f>EV.RIESGO!B12</f>
        <v>Project Manager</v>
      </c>
      <c r="C12" s="344" t="str">
        <f>EV.RIESGO!C12</f>
        <v>Maria Alicia Moguel | Ivan Torres</v>
      </c>
      <c r="D12" s="344"/>
      <c r="E12" s="8"/>
      <c r="F12" s="9"/>
      <c r="G12" s="10"/>
      <c r="H12" s="10"/>
      <c r="I12" s="349"/>
      <c r="J12" s="349"/>
      <c r="K12" s="349"/>
      <c r="L12" s="349"/>
      <c r="M12" s="349"/>
    </row>
    <row r="13" spans="1:13" ht="30" customHeight="1" x14ac:dyDescent="0.2">
      <c r="A13" s="332"/>
      <c r="B13" s="71" t="str">
        <f>EV.RIESGO!B13</f>
        <v xml:space="preserve">Líder de Célula </v>
      </c>
      <c r="C13" s="344" t="str">
        <f>EV.RIESGO!C13</f>
        <v>Pablo Genaro Sanchez</v>
      </c>
      <c r="D13" s="344"/>
      <c r="E13" s="8"/>
      <c r="F13" s="9"/>
      <c r="G13" s="351"/>
      <c r="H13" s="351"/>
      <c r="I13" s="349"/>
      <c r="J13" s="349"/>
      <c r="K13" s="349"/>
      <c r="L13" s="349"/>
      <c r="M13" s="349"/>
    </row>
    <row r="14" spans="1:13" ht="30" customHeight="1" x14ac:dyDescent="0.2">
      <c r="A14" s="333"/>
      <c r="B14" s="71" t="str">
        <f>EV.RIESGO!B14</f>
        <v xml:space="preserve">Líder Técnico </v>
      </c>
      <c r="C14" s="344" t="str">
        <f>EV.RIESGO!C14</f>
        <v>Pablo Genaro Sanchez</v>
      </c>
      <c r="D14" s="344"/>
      <c r="E14" s="8"/>
      <c r="F14" s="9"/>
      <c r="G14" s="10"/>
      <c r="H14" s="10"/>
      <c r="I14" s="3"/>
      <c r="J14" s="3"/>
      <c r="K14" s="3"/>
      <c r="L14" s="3"/>
      <c r="M14" s="3"/>
    </row>
    <row r="15" spans="1:13" ht="30" customHeight="1" x14ac:dyDescent="0.2">
      <c r="A15" s="5" t="str">
        <f>EV.RIESGO!A15</f>
        <v>Ambiente:</v>
      </c>
      <c r="B15" s="345" t="str">
        <f>EV.RIESGO!B15</f>
        <v>PROD</v>
      </c>
      <c r="C15" s="345"/>
      <c r="D15" s="345"/>
      <c r="E15" s="8"/>
      <c r="F15" s="9"/>
      <c r="G15" s="10"/>
      <c r="H15" s="10"/>
      <c r="I15" s="3"/>
      <c r="J15" s="3"/>
      <c r="K15" s="3"/>
      <c r="L15" s="3"/>
      <c r="M15" s="3"/>
    </row>
    <row r="16" spans="1:13" ht="30" customHeight="1" x14ac:dyDescent="0.2"/>
    <row r="17" spans="1:13" ht="30" customHeight="1" x14ac:dyDescent="0.2"/>
    <row r="18" spans="1:13" s="2" customFormat="1" x14ac:dyDescent="0.2">
      <c r="A18" s="4" t="s">
        <v>131</v>
      </c>
      <c r="B18" s="338" t="s">
        <v>132</v>
      </c>
      <c r="C18" s="339"/>
      <c r="D18" s="339"/>
      <c r="E18" s="339"/>
      <c r="F18" s="339"/>
      <c r="G18" s="339"/>
      <c r="H18" s="340"/>
      <c r="I18" s="4" t="s">
        <v>44</v>
      </c>
      <c r="J18" s="4" t="s">
        <v>133</v>
      </c>
      <c r="K18" s="338" t="s">
        <v>74</v>
      </c>
      <c r="L18" s="339"/>
      <c r="M18" s="339"/>
    </row>
    <row r="19" spans="1:13" s="14" customFormat="1" ht="50.75" customHeight="1" x14ac:dyDescent="0.2">
      <c r="A19" s="12">
        <v>1</v>
      </c>
      <c r="B19" s="334"/>
      <c r="C19" s="335"/>
      <c r="D19" s="335"/>
      <c r="E19" s="335"/>
      <c r="F19" s="335"/>
      <c r="G19" s="335"/>
      <c r="H19" s="336"/>
      <c r="I19" s="11" t="s">
        <v>47</v>
      </c>
      <c r="J19" s="13"/>
      <c r="K19" s="334"/>
      <c r="L19" s="335"/>
      <c r="M19" s="336"/>
    </row>
    <row r="20" spans="1:13" s="14" customFormat="1" ht="50.75" customHeight="1" x14ac:dyDescent="0.2">
      <c r="A20" s="12">
        <v>2</v>
      </c>
      <c r="B20" s="334"/>
      <c r="C20" s="335"/>
      <c r="D20" s="335"/>
      <c r="E20" s="335"/>
      <c r="F20" s="335"/>
      <c r="G20" s="335"/>
      <c r="H20" s="336"/>
      <c r="I20" s="11" t="s">
        <v>47</v>
      </c>
      <c r="J20" s="13"/>
      <c r="K20" s="334"/>
      <c r="L20" s="335"/>
      <c r="M20" s="336"/>
    </row>
    <row r="21" spans="1:13" s="14" customFormat="1" ht="50.75" customHeight="1" x14ac:dyDescent="0.2">
      <c r="A21" s="12">
        <v>3</v>
      </c>
      <c r="B21" s="334"/>
      <c r="C21" s="335"/>
      <c r="D21" s="335"/>
      <c r="E21" s="335"/>
      <c r="F21" s="335"/>
      <c r="G21" s="335"/>
      <c r="H21" s="336"/>
      <c r="I21" s="11" t="s">
        <v>47</v>
      </c>
      <c r="J21" s="13"/>
      <c r="K21" s="334"/>
      <c r="L21" s="335"/>
      <c r="M21" s="336"/>
    </row>
    <row r="22" spans="1:13" s="14" customFormat="1" ht="50.75" customHeight="1" x14ac:dyDescent="0.2">
      <c r="A22" s="12">
        <v>4</v>
      </c>
      <c r="B22" s="334"/>
      <c r="C22" s="335"/>
      <c r="D22" s="335"/>
      <c r="E22" s="335"/>
      <c r="F22" s="335"/>
      <c r="G22" s="335"/>
      <c r="H22" s="336"/>
      <c r="I22" s="11" t="s">
        <v>47</v>
      </c>
      <c r="J22" s="13"/>
      <c r="K22" s="334"/>
      <c r="L22" s="335"/>
      <c r="M22" s="336"/>
    </row>
    <row r="23" spans="1:13" s="14" customFormat="1" ht="50.75" customHeight="1" x14ac:dyDescent="0.2">
      <c r="A23" s="12">
        <v>5</v>
      </c>
      <c r="B23" s="334"/>
      <c r="C23" s="335"/>
      <c r="D23" s="335"/>
      <c r="E23" s="335"/>
      <c r="F23" s="335"/>
      <c r="G23" s="335"/>
      <c r="H23" s="336"/>
      <c r="I23" s="11" t="s">
        <v>47</v>
      </c>
      <c r="J23" s="13"/>
      <c r="K23" s="334"/>
      <c r="L23" s="335"/>
      <c r="M23" s="336"/>
    </row>
    <row r="24" spans="1:13" s="14" customFormat="1" ht="50.75" customHeight="1" x14ac:dyDescent="0.2">
      <c r="A24" s="12">
        <v>6</v>
      </c>
      <c r="B24" s="334"/>
      <c r="C24" s="335"/>
      <c r="D24" s="335"/>
      <c r="E24" s="335"/>
      <c r="F24" s="335"/>
      <c r="G24" s="335"/>
      <c r="H24" s="336"/>
      <c r="I24" s="11" t="s">
        <v>47</v>
      </c>
      <c r="J24" s="13"/>
      <c r="K24" s="334"/>
      <c r="L24" s="335"/>
      <c r="M24" s="336"/>
    </row>
    <row r="25" spans="1:13" s="14" customFormat="1" ht="50.75" customHeight="1" x14ac:dyDescent="0.2">
      <c r="A25" s="12">
        <v>7</v>
      </c>
      <c r="B25" s="334"/>
      <c r="C25" s="335"/>
      <c r="D25" s="335"/>
      <c r="E25" s="335"/>
      <c r="F25" s="335"/>
      <c r="G25" s="335"/>
      <c r="H25" s="336"/>
      <c r="I25" s="11" t="s">
        <v>47</v>
      </c>
      <c r="J25" s="13"/>
      <c r="K25" s="334"/>
      <c r="L25" s="335"/>
      <c r="M25" s="336"/>
    </row>
    <row r="26" spans="1:13" s="14" customFormat="1" ht="50.75" customHeight="1" x14ac:dyDescent="0.2">
      <c r="A26" s="12">
        <v>8</v>
      </c>
      <c r="B26" s="334"/>
      <c r="C26" s="335"/>
      <c r="D26" s="335"/>
      <c r="E26" s="335"/>
      <c r="F26" s="335"/>
      <c r="G26" s="335"/>
      <c r="H26" s="336"/>
      <c r="I26" s="11" t="s">
        <v>47</v>
      </c>
      <c r="J26" s="13"/>
      <c r="K26" s="334"/>
      <c r="L26" s="335"/>
      <c r="M26" s="336"/>
    </row>
    <row r="27" spans="1:13" s="14" customFormat="1" ht="50.75" customHeight="1" x14ac:dyDescent="0.2">
      <c r="A27" s="12">
        <v>9</v>
      </c>
      <c r="B27" s="334"/>
      <c r="C27" s="335"/>
      <c r="D27" s="335"/>
      <c r="E27" s="335"/>
      <c r="F27" s="335"/>
      <c r="G27" s="335"/>
      <c r="H27" s="336"/>
      <c r="I27" s="11" t="s">
        <v>47</v>
      </c>
      <c r="J27" s="13"/>
      <c r="K27" s="334"/>
      <c r="L27" s="335"/>
      <c r="M27" s="336"/>
    </row>
    <row r="28" spans="1:13" s="14" customFormat="1" ht="50.75" customHeight="1" x14ac:dyDescent="0.2">
      <c r="A28" s="12">
        <v>10</v>
      </c>
      <c r="B28" s="334"/>
      <c r="C28" s="335"/>
      <c r="D28" s="335"/>
      <c r="E28" s="335"/>
      <c r="F28" s="335"/>
      <c r="G28" s="335"/>
      <c r="H28" s="336"/>
      <c r="I28" s="11" t="s">
        <v>47</v>
      </c>
      <c r="J28" s="13"/>
      <c r="K28" s="334"/>
      <c r="L28" s="335"/>
      <c r="M28" s="336"/>
    </row>
    <row r="29" spans="1:13" x14ac:dyDescent="0.2">
      <c r="A29" s="2"/>
      <c r="L29" s="337"/>
      <c r="M29" s="337"/>
    </row>
  </sheetData>
  <sheetProtection algorithmName="SHA-512" hashValue="G9dWpaqsxwOW9bPq5hKHBN6x3mr2H08w6tmwgW1cW6gbuffw7OIA6Cj4mWZTCkGrbkv/r5NOt0dIGixx85usfw==" saltValue="+wBb4w2NkLI+R8/zy9IOTA==" spinCount="100000" sheet="1" formatCells="0" formatColumns="0" formatRows="0" insertColumns="0" insertRows="0" insertHyperlinks="0" deleteColumns="0" deleteRows="0" selectLockedCells="1" sort="0" autoFilter="0" pivotTables="0"/>
  <mergeCells count="39">
    <mergeCell ref="B21:H21"/>
    <mergeCell ref="B27:H27"/>
    <mergeCell ref="B28:H28"/>
    <mergeCell ref="B22:H22"/>
    <mergeCell ref="B23:H23"/>
    <mergeCell ref="B24:H24"/>
    <mergeCell ref="B25:H25"/>
    <mergeCell ref="B26:H26"/>
    <mergeCell ref="B10:D10"/>
    <mergeCell ref="C13:D13"/>
    <mergeCell ref="B15:D15"/>
    <mergeCell ref="I8:M8"/>
    <mergeCell ref="I9:M13"/>
    <mergeCell ref="G8:H8"/>
    <mergeCell ref="B9:D9"/>
    <mergeCell ref="G9:H9"/>
    <mergeCell ref="G10:H10"/>
    <mergeCell ref="G11:H11"/>
    <mergeCell ref="C11:D11"/>
    <mergeCell ref="C12:D12"/>
    <mergeCell ref="G13:H13"/>
    <mergeCell ref="B8:D8"/>
    <mergeCell ref="C14:D14"/>
    <mergeCell ref="A11:A14"/>
    <mergeCell ref="K22:M22"/>
    <mergeCell ref="L29:M29"/>
    <mergeCell ref="K27:M27"/>
    <mergeCell ref="K28:M28"/>
    <mergeCell ref="K25:M25"/>
    <mergeCell ref="K26:M26"/>
    <mergeCell ref="K23:M23"/>
    <mergeCell ref="K24:M24"/>
    <mergeCell ref="B18:H18"/>
    <mergeCell ref="K18:M18"/>
    <mergeCell ref="K19:M19"/>
    <mergeCell ref="K20:M20"/>
    <mergeCell ref="K21:M21"/>
    <mergeCell ref="B19:H19"/>
    <mergeCell ref="B20:H20"/>
  </mergeCells>
  <dataValidations count="4">
    <dataValidation type="list" allowBlank="1" showInputMessage="1" showErrorMessage="1" sqref="B15:D15" xr:uid="{0E02188E-DB81-4F69-B4E5-DBE216ED361A}">
      <formula1>"Selecciona,PROD,QA1,QA2,QA3"</formula1>
    </dataValidation>
    <dataValidation type="list" allowBlank="1" showInputMessage="1" showErrorMessage="1" sqref="G8:H11" xr:uid="{698F2B6A-2FAA-4D5A-A26B-DC279CA8B609}">
      <formula1>"Selecciona,Normal,Estandar,Emergente"</formula1>
    </dataValidation>
    <dataValidation type="list" allowBlank="1" showInputMessage="1" showErrorMessage="1" sqref="G12:H12" xr:uid="{3CAD60ED-1530-4FFE-AF74-3B19E36AC45D}">
      <formula1>"Selecciona,Alto,Medio,Bajo"</formula1>
    </dataValidation>
    <dataValidation type="list" allowBlank="1" showInputMessage="1" showErrorMessage="1" sqref="G13:H15" xr:uid="{F3651E87-02A8-4094-A2EA-412D48112700}">
      <formula1>"Selecciona,Si,No"</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0C76D66-8875-422E-9C28-DD376BDCCD36}">
          <x14:formula1>
            <xm:f>RFC!$E$20:$E$31</xm:f>
          </x14:formula1>
          <xm:sqref>I19:I28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06275-8B06-43D3-8FFD-17C7A28FAD2C}">
  <dimension ref="A8:AT28"/>
  <sheetViews>
    <sheetView showGridLines="0" topLeftCell="A16" zoomScaleNormal="100" zoomScalePageLayoutView="85" workbookViewId="0">
      <pane xSplit="1" topLeftCell="B1" activePane="topRight" state="frozen"/>
      <selection pane="topRight" activeCell="H24" sqref="H24:J24"/>
    </sheetView>
  </sheetViews>
  <sheetFormatPr baseColWidth="10" defaultColWidth="10.83203125" defaultRowHeight="15" x14ac:dyDescent="0.2"/>
  <cols>
    <col min="1" max="1" width="33" style="18" customWidth="1"/>
    <col min="2" max="2" width="22.5" style="18" customWidth="1"/>
    <col min="3" max="3" width="10.83203125" style="18"/>
    <col min="4" max="4" width="18.5" style="18" customWidth="1"/>
    <col min="5" max="5" width="10.5" style="18" customWidth="1"/>
    <col min="6" max="6" width="28.5" style="18" customWidth="1"/>
    <col min="7" max="7" width="14.5" style="18" customWidth="1"/>
    <col min="8" max="8" width="10.5" style="18" customWidth="1"/>
    <col min="9" max="9" width="11.83203125" style="18" customWidth="1"/>
    <col min="10" max="10" width="23.5" style="18" customWidth="1"/>
    <col min="11" max="12" width="10.83203125" style="18" customWidth="1"/>
    <col min="13" max="13" width="29.83203125" style="18" customWidth="1"/>
    <col min="14" max="15" width="10.83203125" style="18"/>
    <col min="16" max="16" width="28.1640625" style="18" customWidth="1"/>
    <col min="17" max="18" width="10.83203125" style="18"/>
    <col min="19" max="19" width="27.83203125" style="18" customWidth="1"/>
    <col min="20" max="20" width="15" style="18" customWidth="1"/>
    <col min="21" max="21" width="17.1640625" style="18" customWidth="1"/>
    <col min="22" max="22" width="15.5" style="18" customWidth="1"/>
    <col min="23" max="23" width="10.83203125" style="18"/>
    <col min="24" max="24" width="22" style="18" customWidth="1"/>
    <col min="25" max="25" width="20.83203125" style="18" customWidth="1"/>
    <col min="26" max="26" width="15.5" style="18" customWidth="1"/>
    <col min="27" max="27" width="21.5" style="18" customWidth="1"/>
    <col min="28" max="28" width="20.1640625" style="18" customWidth="1"/>
    <col min="29" max="29" width="10.83203125" style="18"/>
    <col min="30" max="30" width="20.83203125" style="18" customWidth="1"/>
    <col min="31" max="31" width="12.6640625" style="18" customWidth="1"/>
    <col min="32" max="33" width="10.83203125" style="18"/>
    <col min="34" max="34" width="23" style="18" customWidth="1"/>
    <col min="35" max="35" width="15.5" style="18" customWidth="1"/>
    <col min="36" max="36" width="10.83203125" style="18"/>
    <col min="37" max="37" width="25" style="18" customWidth="1"/>
    <col min="38" max="39" width="10.83203125" style="18"/>
    <col min="40" max="40" width="24.83203125" style="18" customWidth="1"/>
    <col min="41" max="42" width="10.83203125" style="18"/>
    <col min="43" max="43" width="26.83203125" style="18" customWidth="1"/>
    <col min="44" max="16384" width="10.83203125" style="18"/>
  </cols>
  <sheetData>
    <row r="8" spans="1:13" ht="30" customHeight="1" x14ac:dyDescent="0.2">
      <c r="A8" s="39" t="str">
        <f>EV.RIESGO!A8</f>
        <v>ID del proyecto:</v>
      </c>
      <c r="B8" s="421" t="str">
        <f>EV.RIESGO!B8</f>
        <v>com001-pe26 | td029-bf26</v>
      </c>
      <c r="C8" s="422"/>
      <c r="D8" s="423"/>
      <c r="E8" s="40"/>
      <c r="F8" s="41" t="str">
        <f>EV.RIESGO!F8</f>
        <v>Tipo de Cambio:</v>
      </c>
      <c r="G8" s="417" t="str">
        <f>EV.RIESGO!G8</f>
        <v>Normal</v>
      </c>
      <c r="H8" s="417"/>
      <c r="I8" s="425" t="str">
        <f>EV.RIESGO!I8</f>
        <v>Comentarios adicionales.</v>
      </c>
      <c r="J8" s="426"/>
      <c r="K8" s="426"/>
      <c r="L8" s="426"/>
      <c r="M8" s="427"/>
    </row>
    <row r="9" spans="1:13" ht="30" customHeight="1" x14ac:dyDescent="0.2">
      <c r="A9" s="39" t="str">
        <f>EV.RIESGO!A9</f>
        <v>Nombre del proyecto</v>
      </c>
      <c r="B9" s="421" t="str">
        <f>EV.RIESGO!B9</f>
        <v>Club Macropay | Compras con Macropesos no descuentan los Macropesos usados a los  clientes</v>
      </c>
      <c r="C9" s="422"/>
      <c r="D9" s="423"/>
      <c r="E9" s="40"/>
      <c r="F9" s="41" t="str">
        <f>EV.RIESGO!F9</f>
        <v>Prioridad:</v>
      </c>
      <c r="G9" s="417" t="str">
        <f>EV.RIESGO!G9</f>
        <v>Alta</v>
      </c>
      <c r="H9" s="417"/>
      <c r="I9" s="362"/>
      <c r="J9" s="362"/>
      <c r="K9" s="362"/>
      <c r="L9" s="362"/>
      <c r="M9" s="362"/>
    </row>
    <row r="10" spans="1:13" ht="30" customHeight="1" x14ac:dyDescent="0.2">
      <c r="A10" s="39" t="str">
        <f>EV.RIESGO!A10</f>
        <v>Plataformas impactadas:</v>
      </c>
      <c r="B10" s="421" t="str">
        <f>EV.RIESGO!B10</f>
        <v>PF, POS, APP, Mulesfort, Salesforce, Infobip</v>
      </c>
      <c r="C10" s="422"/>
      <c r="D10" s="423"/>
      <c r="E10" s="43"/>
      <c r="F10" s="41" t="str">
        <f>EV.RIESGO!F10</f>
        <v>Riesgo:</v>
      </c>
      <c r="G10" s="417" t="str">
        <f>EV.RIESGO!G10</f>
        <v>Medio</v>
      </c>
      <c r="H10" s="417"/>
      <c r="I10" s="362"/>
      <c r="J10" s="362"/>
      <c r="K10" s="362"/>
      <c r="L10" s="362"/>
      <c r="M10" s="362"/>
    </row>
    <row r="11" spans="1:13" ht="30" customHeight="1" x14ac:dyDescent="0.2">
      <c r="A11" s="412" t="str">
        <f>EV.RIESGO!A11</f>
        <v>Líder del Cambio:</v>
      </c>
      <c r="B11" s="74" t="str">
        <f>EV.RIESGO!B11</f>
        <v>Arquitecto</v>
      </c>
      <c r="C11" s="363" t="str">
        <f>EV.RIESGO!C11</f>
        <v>Henry Suárez Hernández/Jonathan Mauricio López</v>
      </c>
      <c r="D11" s="363"/>
      <c r="E11" s="43"/>
      <c r="F11" s="41" t="str">
        <f>EV.RIESGO!F11</f>
        <v>Afecta la operación:</v>
      </c>
      <c r="G11" s="417" t="str">
        <f>EV.RIESGO!G11</f>
        <v>Si</v>
      </c>
      <c r="H11" s="417"/>
      <c r="I11" s="362"/>
      <c r="J11" s="362"/>
      <c r="K11" s="362"/>
      <c r="L11" s="362"/>
      <c r="M11" s="362"/>
    </row>
    <row r="12" spans="1:13" ht="30" customHeight="1" x14ac:dyDescent="0.2">
      <c r="A12" s="413"/>
      <c r="B12" s="74" t="str">
        <f>EV.RIESGO!B12</f>
        <v>Project Manager</v>
      </c>
      <c r="C12" s="363" t="str">
        <f>EV.RIESGO!C12</f>
        <v>Maria Alicia Moguel | Ivan Torres</v>
      </c>
      <c r="D12" s="363"/>
      <c r="E12" s="43"/>
      <c r="F12" s="44"/>
      <c r="G12" s="45"/>
      <c r="H12" s="45"/>
      <c r="I12" s="362"/>
      <c r="J12" s="362"/>
      <c r="K12" s="362"/>
      <c r="L12" s="362"/>
      <c r="M12" s="362"/>
    </row>
    <row r="13" spans="1:13" ht="30" customHeight="1" x14ac:dyDescent="0.2">
      <c r="A13" s="413"/>
      <c r="B13" s="74" t="str">
        <f>EV.RIESGO!B13</f>
        <v xml:space="preserve">Líder de Célula </v>
      </c>
      <c r="C13" s="363" t="str">
        <f>EV.RIESGO!C13</f>
        <v>Pablo Genaro Sanchez</v>
      </c>
      <c r="D13" s="363"/>
      <c r="E13" s="43"/>
      <c r="F13" s="44"/>
      <c r="G13" s="424"/>
      <c r="H13" s="424"/>
      <c r="I13" s="362"/>
      <c r="J13" s="362"/>
      <c r="K13" s="362"/>
      <c r="L13" s="362"/>
      <c r="M13" s="362"/>
    </row>
    <row r="14" spans="1:13" ht="30" customHeight="1" thickBot="1" x14ac:dyDescent="0.25">
      <c r="A14" s="414"/>
      <c r="B14" s="74" t="str">
        <f>EV.RIESGO!B14</f>
        <v xml:space="preserve">Líder Técnico </v>
      </c>
      <c r="C14" s="363" t="str">
        <f>EV.RIESGO!C14</f>
        <v>Pablo Genaro Sanchez</v>
      </c>
      <c r="D14" s="363"/>
      <c r="E14" s="43"/>
      <c r="F14" s="44"/>
      <c r="G14" s="45"/>
      <c r="H14" s="45"/>
      <c r="I14" s="20"/>
      <c r="J14" s="20"/>
      <c r="K14" s="20"/>
      <c r="L14" s="20"/>
      <c r="M14" s="20"/>
    </row>
    <row r="15" spans="1:13" ht="30" customHeight="1" thickBot="1" x14ac:dyDescent="0.25">
      <c r="A15" s="39" t="str">
        <f>EV.RIESGO!A15</f>
        <v>Ambiente:</v>
      </c>
      <c r="B15" s="417" t="str">
        <f>EV.RIESGO!B15</f>
        <v>PROD</v>
      </c>
      <c r="C15" s="417"/>
      <c r="D15" s="417"/>
      <c r="E15" s="43"/>
      <c r="F15" s="92" t="str">
        <f>EV.RIESGO!F15</f>
        <v>Componentes a desplegar:</v>
      </c>
      <c r="G15" s="415">
        <f>COUNTA(B20:AT20)</f>
        <v>14</v>
      </c>
      <c r="H15" s="416"/>
      <c r="I15" s="20"/>
      <c r="J15" s="20"/>
      <c r="K15" s="20"/>
    </row>
    <row r="16" spans="1:13" ht="8" customHeight="1" x14ac:dyDescent="0.2"/>
    <row r="17" spans="1:46" x14ac:dyDescent="0.2">
      <c r="A17" s="15"/>
      <c r="B17" s="352">
        <v>1</v>
      </c>
      <c r="C17" s="353"/>
      <c r="D17" s="354"/>
      <c r="E17" s="352">
        <v>2</v>
      </c>
      <c r="F17" s="353"/>
      <c r="G17" s="354"/>
      <c r="H17" s="352">
        <v>3</v>
      </c>
      <c r="I17" s="353"/>
      <c r="J17" s="354"/>
      <c r="K17" s="352">
        <v>4</v>
      </c>
      <c r="L17" s="353"/>
      <c r="M17" s="354"/>
      <c r="N17" s="352">
        <v>5</v>
      </c>
      <c r="O17" s="353"/>
      <c r="P17" s="354"/>
      <c r="Q17" s="352">
        <v>6</v>
      </c>
      <c r="R17" s="353"/>
      <c r="S17" s="354"/>
      <c r="T17" s="352">
        <v>7</v>
      </c>
      <c r="U17" s="353"/>
      <c r="V17" s="354"/>
      <c r="W17" s="352">
        <v>8</v>
      </c>
      <c r="X17" s="353"/>
      <c r="Y17" s="354"/>
      <c r="Z17" s="352">
        <v>9</v>
      </c>
      <c r="AA17" s="353"/>
      <c r="AB17" s="354"/>
      <c r="AC17" s="352">
        <v>10</v>
      </c>
      <c r="AD17" s="353"/>
      <c r="AE17" s="354"/>
      <c r="AF17" s="352">
        <v>11</v>
      </c>
      <c r="AG17" s="353"/>
      <c r="AH17" s="354"/>
      <c r="AI17" s="352">
        <v>12</v>
      </c>
      <c r="AJ17" s="353"/>
      <c r="AK17" s="354"/>
      <c r="AL17" s="352">
        <v>13</v>
      </c>
      <c r="AM17" s="353"/>
      <c r="AN17" s="354"/>
      <c r="AO17" s="352">
        <v>14</v>
      </c>
      <c r="AP17" s="353"/>
      <c r="AQ17" s="354"/>
      <c r="AR17" s="352">
        <v>15</v>
      </c>
      <c r="AS17" s="353"/>
      <c r="AT17" s="354"/>
    </row>
    <row r="18" spans="1:46" ht="50" customHeight="1" x14ac:dyDescent="0.2">
      <c r="A18" s="16" t="s">
        <v>134</v>
      </c>
      <c r="B18" s="383" t="s">
        <v>135</v>
      </c>
      <c r="C18" s="384"/>
      <c r="D18" s="385"/>
      <c r="E18" s="358" t="s">
        <v>136</v>
      </c>
      <c r="F18" s="359"/>
      <c r="G18" s="360"/>
      <c r="H18" s="383" t="s">
        <v>135</v>
      </c>
      <c r="I18" s="384"/>
      <c r="J18" s="385"/>
      <c r="K18" s="355" t="s">
        <v>137</v>
      </c>
      <c r="L18" s="356"/>
      <c r="M18" s="357"/>
      <c r="N18" s="355" t="s">
        <v>88</v>
      </c>
      <c r="O18" s="356"/>
      <c r="P18" s="357"/>
      <c r="Q18" s="355" t="s">
        <v>47</v>
      </c>
      <c r="R18" s="356"/>
      <c r="S18" s="357"/>
      <c r="T18" s="355" t="s">
        <v>47</v>
      </c>
      <c r="U18" s="356"/>
      <c r="V18" s="357"/>
      <c r="W18" s="358" t="s">
        <v>96</v>
      </c>
      <c r="X18" s="359"/>
      <c r="Y18" s="360"/>
      <c r="Z18" s="355" t="s">
        <v>138</v>
      </c>
      <c r="AA18" s="356"/>
      <c r="AB18" s="357"/>
      <c r="AC18" s="355" t="s">
        <v>139</v>
      </c>
      <c r="AD18" s="356"/>
      <c r="AE18" s="357"/>
      <c r="AF18" s="355" t="s">
        <v>139</v>
      </c>
      <c r="AG18" s="356"/>
      <c r="AH18" s="357"/>
      <c r="AI18" s="355" t="s">
        <v>138</v>
      </c>
      <c r="AJ18" s="356"/>
      <c r="AK18" s="357"/>
      <c r="AL18" s="355" t="s">
        <v>140</v>
      </c>
      <c r="AM18" s="356"/>
      <c r="AN18" s="357"/>
      <c r="AO18" s="355" t="s">
        <v>140</v>
      </c>
      <c r="AP18" s="356"/>
      <c r="AQ18" s="357"/>
      <c r="AR18" s="409"/>
      <c r="AS18" s="410"/>
      <c r="AT18" s="411"/>
    </row>
    <row r="19" spans="1:46" ht="50" customHeight="1" x14ac:dyDescent="0.2">
      <c r="A19" s="16" t="s">
        <v>141</v>
      </c>
      <c r="B19" s="361" t="s">
        <v>142</v>
      </c>
      <c r="C19" s="361"/>
      <c r="D19" s="361"/>
      <c r="E19" s="358" t="s">
        <v>143</v>
      </c>
      <c r="F19" s="359"/>
      <c r="G19" s="360"/>
      <c r="H19" s="361" t="s">
        <v>142</v>
      </c>
      <c r="I19" s="361"/>
      <c r="J19" s="361"/>
      <c r="K19" s="355" t="s">
        <v>143</v>
      </c>
      <c r="L19" s="356"/>
      <c r="M19" s="357"/>
      <c r="N19" s="355" t="s">
        <v>143</v>
      </c>
      <c r="O19" s="356"/>
      <c r="P19" s="357"/>
      <c r="Q19" s="365" t="s">
        <v>143</v>
      </c>
      <c r="R19" s="366"/>
      <c r="S19" s="367"/>
      <c r="T19" s="365" t="s">
        <v>143</v>
      </c>
      <c r="U19" s="366"/>
      <c r="V19" s="367"/>
      <c r="W19" s="355" t="s">
        <v>143</v>
      </c>
      <c r="X19" s="356"/>
      <c r="Y19" s="357"/>
      <c r="Z19" s="355" t="s">
        <v>142</v>
      </c>
      <c r="AA19" s="356"/>
      <c r="AB19" s="357"/>
      <c r="AC19" s="355" t="s">
        <v>143</v>
      </c>
      <c r="AD19" s="356"/>
      <c r="AE19" s="357"/>
      <c r="AF19" s="355" t="s">
        <v>143</v>
      </c>
      <c r="AG19" s="356"/>
      <c r="AH19" s="357"/>
      <c r="AI19" s="355" t="s">
        <v>142</v>
      </c>
      <c r="AJ19" s="356"/>
      <c r="AK19" s="357"/>
      <c r="AL19" s="355" t="s">
        <v>142</v>
      </c>
      <c r="AM19" s="356"/>
      <c r="AN19" s="357"/>
      <c r="AO19" s="355" t="s">
        <v>142</v>
      </c>
      <c r="AP19" s="356"/>
      <c r="AQ19" s="357"/>
      <c r="AR19" s="409"/>
      <c r="AS19" s="410"/>
      <c r="AT19" s="411"/>
    </row>
    <row r="20" spans="1:46" ht="50" customHeight="1" x14ac:dyDescent="0.2">
      <c r="A20" s="16" t="s">
        <v>144</v>
      </c>
      <c r="B20" s="418" t="s">
        <v>145</v>
      </c>
      <c r="C20" s="419"/>
      <c r="D20" s="420"/>
      <c r="E20" s="388" t="s">
        <v>146</v>
      </c>
      <c r="F20" s="392"/>
      <c r="G20" s="392"/>
      <c r="H20" s="418" t="s">
        <v>147</v>
      </c>
      <c r="I20" s="419"/>
      <c r="J20" s="420"/>
      <c r="K20" s="386" t="s">
        <v>148</v>
      </c>
      <c r="L20" s="387"/>
      <c r="M20" s="278"/>
      <c r="N20" s="386" t="s">
        <v>149</v>
      </c>
      <c r="O20" s="387"/>
      <c r="P20" s="278"/>
      <c r="Q20" s="277" t="s">
        <v>150</v>
      </c>
      <c r="R20" s="368"/>
      <c r="S20" s="369"/>
      <c r="T20" s="277" t="s">
        <v>151</v>
      </c>
      <c r="U20" s="368"/>
      <c r="V20" s="369"/>
      <c r="W20" s="277" t="s">
        <v>152</v>
      </c>
      <c r="X20" s="368"/>
      <c r="Y20" s="369"/>
      <c r="Z20" s="386" t="s">
        <v>153</v>
      </c>
      <c r="AA20" s="387"/>
      <c r="AB20" s="278"/>
      <c r="AC20" s="277" t="s">
        <v>154</v>
      </c>
      <c r="AD20" s="368"/>
      <c r="AE20" s="369"/>
      <c r="AF20" s="386" t="s">
        <v>155</v>
      </c>
      <c r="AG20" s="387"/>
      <c r="AH20" s="278"/>
      <c r="AI20" s="386" t="s">
        <v>156</v>
      </c>
      <c r="AJ20" s="387"/>
      <c r="AK20" s="278"/>
      <c r="AL20" s="386" t="s">
        <v>157</v>
      </c>
      <c r="AM20" s="387"/>
      <c r="AN20" s="278"/>
      <c r="AO20" s="277" t="s">
        <v>158</v>
      </c>
      <c r="AP20" s="387"/>
      <c r="AQ20" s="278"/>
      <c r="AR20" s="389"/>
      <c r="AS20" s="390"/>
      <c r="AT20" s="391"/>
    </row>
    <row r="21" spans="1:46" ht="50" customHeight="1" x14ac:dyDescent="0.2">
      <c r="A21" s="16" t="s">
        <v>159</v>
      </c>
      <c r="B21" s="380" t="s">
        <v>160</v>
      </c>
      <c r="C21" s="381"/>
      <c r="D21" s="382"/>
      <c r="E21" s="393" t="s">
        <v>161</v>
      </c>
      <c r="F21" s="393"/>
      <c r="G21" s="393"/>
      <c r="H21" s="380" t="s">
        <v>162</v>
      </c>
      <c r="I21" s="381"/>
      <c r="J21" s="382"/>
      <c r="K21" s="373" t="s">
        <v>163</v>
      </c>
      <c r="L21" s="374"/>
      <c r="M21" s="375"/>
      <c r="N21" s="373" t="s">
        <v>164</v>
      </c>
      <c r="O21" s="374"/>
      <c r="P21" s="375"/>
      <c r="Q21" s="370" t="s">
        <v>165</v>
      </c>
      <c r="R21" s="371"/>
      <c r="S21" s="372"/>
      <c r="T21" s="370" t="s">
        <v>166</v>
      </c>
      <c r="U21" s="371"/>
      <c r="V21" s="372"/>
      <c r="W21" s="370" t="s">
        <v>152</v>
      </c>
      <c r="X21" s="371"/>
      <c r="Y21" s="372"/>
      <c r="Z21" s="373" t="s">
        <v>167</v>
      </c>
      <c r="AA21" s="374"/>
      <c r="AB21" s="375"/>
      <c r="AC21" s="373" t="s">
        <v>168</v>
      </c>
      <c r="AD21" s="374"/>
      <c r="AE21" s="375"/>
      <c r="AF21" s="373" t="s">
        <v>169</v>
      </c>
      <c r="AG21" s="374"/>
      <c r="AH21" s="375"/>
      <c r="AI21" s="399" t="s">
        <v>170</v>
      </c>
      <c r="AJ21" s="400"/>
      <c r="AK21" s="401"/>
      <c r="AL21" s="373" t="s">
        <v>171</v>
      </c>
      <c r="AM21" s="374"/>
      <c r="AN21" s="375"/>
      <c r="AO21" s="373" t="s">
        <v>172</v>
      </c>
      <c r="AP21" s="374"/>
      <c r="AQ21" s="375"/>
      <c r="AR21" s="389"/>
      <c r="AS21" s="390"/>
      <c r="AT21" s="391"/>
    </row>
    <row r="22" spans="1:46" ht="34" customHeight="1" x14ac:dyDescent="0.2">
      <c r="A22" s="16" t="s">
        <v>173</v>
      </c>
      <c r="B22" s="373" t="s">
        <v>174</v>
      </c>
      <c r="C22" s="374"/>
      <c r="D22" s="375"/>
      <c r="E22" s="373" t="s">
        <v>174</v>
      </c>
      <c r="F22" s="374"/>
      <c r="G22" s="375"/>
      <c r="H22" s="373" t="s">
        <v>174</v>
      </c>
      <c r="I22" s="374"/>
      <c r="J22" s="375"/>
      <c r="K22" s="373" t="s">
        <v>174</v>
      </c>
      <c r="L22" s="374"/>
      <c r="M22" s="375"/>
      <c r="N22" s="373" t="s">
        <v>174</v>
      </c>
      <c r="O22" s="374"/>
      <c r="P22" s="375"/>
      <c r="Q22" s="373" t="s">
        <v>174</v>
      </c>
      <c r="R22" s="374"/>
      <c r="S22" s="375"/>
      <c r="T22" s="373" t="s">
        <v>174</v>
      </c>
      <c r="U22" s="374"/>
      <c r="V22" s="375"/>
      <c r="W22" s="373" t="s">
        <v>152</v>
      </c>
      <c r="X22" s="374"/>
      <c r="Y22" s="375"/>
      <c r="Z22" s="373" t="s">
        <v>174</v>
      </c>
      <c r="AA22" s="374"/>
      <c r="AB22" s="375"/>
      <c r="AC22" s="373" t="s">
        <v>174</v>
      </c>
      <c r="AD22" s="374"/>
      <c r="AE22" s="375"/>
      <c r="AF22" s="373" t="s">
        <v>174</v>
      </c>
      <c r="AG22" s="374"/>
      <c r="AH22" s="374"/>
      <c r="AI22" s="405" t="s">
        <v>174</v>
      </c>
      <c r="AJ22" s="405"/>
      <c r="AK22" s="405"/>
      <c r="AL22" s="406" t="s">
        <v>174</v>
      </c>
      <c r="AM22" s="406"/>
      <c r="AN22" s="407"/>
      <c r="AO22" s="408" t="s">
        <v>174</v>
      </c>
      <c r="AP22" s="406"/>
      <c r="AQ22" s="407"/>
      <c r="AR22" s="389"/>
      <c r="AS22" s="390"/>
      <c r="AT22" s="391"/>
    </row>
    <row r="23" spans="1:46" ht="50" customHeight="1" x14ac:dyDescent="0.2">
      <c r="A23" s="16" t="s">
        <v>175</v>
      </c>
      <c r="B23" s="383" t="s">
        <v>176</v>
      </c>
      <c r="C23" s="384"/>
      <c r="D23" s="385"/>
      <c r="E23" s="394" t="s">
        <v>177</v>
      </c>
      <c r="F23" s="395"/>
      <c r="G23" s="395"/>
      <c r="H23" s="383" t="s">
        <v>178</v>
      </c>
      <c r="I23" s="384"/>
      <c r="J23" s="385"/>
      <c r="K23" s="355" t="s">
        <v>179</v>
      </c>
      <c r="L23" s="356"/>
      <c r="M23" s="357"/>
      <c r="N23" s="355" t="s">
        <v>180</v>
      </c>
      <c r="O23" s="356"/>
      <c r="P23" s="357"/>
      <c r="Q23" s="355" t="s">
        <v>181</v>
      </c>
      <c r="R23" s="356"/>
      <c r="S23" s="357"/>
      <c r="T23" s="355" t="s">
        <v>182</v>
      </c>
      <c r="U23" s="356"/>
      <c r="V23" s="357"/>
      <c r="W23" s="355" t="s">
        <v>183</v>
      </c>
      <c r="X23" s="356"/>
      <c r="Y23" s="357"/>
      <c r="Z23" s="355" t="s">
        <v>184</v>
      </c>
      <c r="AA23" s="356"/>
      <c r="AB23" s="357"/>
      <c r="AC23" s="355" t="s">
        <v>185</v>
      </c>
      <c r="AD23" s="356"/>
      <c r="AE23" s="357"/>
      <c r="AF23" s="355" t="s">
        <v>186</v>
      </c>
      <c r="AG23" s="356"/>
      <c r="AH23" s="357"/>
      <c r="AI23" s="402" t="s">
        <v>187</v>
      </c>
      <c r="AJ23" s="403"/>
      <c r="AK23" s="404"/>
      <c r="AL23" s="355" t="s">
        <v>188</v>
      </c>
      <c r="AM23" s="356"/>
      <c r="AN23" s="357"/>
      <c r="AO23" s="355" t="s">
        <v>189</v>
      </c>
      <c r="AP23" s="356"/>
      <c r="AQ23" s="357"/>
      <c r="AR23" s="389"/>
      <c r="AS23" s="390"/>
      <c r="AT23" s="391"/>
    </row>
    <row r="24" spans="1:46" ht="91" customHeight="1" x14ac:dyDescent="0.2">
      <c r="A24" s="73" t="s">
        <v>190</v>
      </c>
      <c r="B24" s="396" t="s">
        <v>191</v>
      </c>
      <c r="C24" s="397"/>
      <c r="D24" s="398"/>
      <c r="E24" s="379" t="s">
        <v>192</v>
      </c>
      <c r="F24" s="377"/>
      <c r="G24" s="378"/>
      <c r="H24" s="379" t="s">
        <v>192</v>
      </c>
      <c r="I24" s="377"/>
      <c r="J24" s="378"/>
      <c r="K24" s="396" t="s">
        <v>193</v>
      </c>
      <c r="L24" s="397"/>
      <c r="M24" s="398"/>
      <c r="N24" s="379" t="s">
        <v>192</v>
      </c>
      <c r="O24" s="377"/>
      <c r="P24" s="378"/>
      <c r="Q24" s="376" t="s">
        <v>194</v>
      </c>
      <c r="R24" s="377"/>
      <c r="S24" s="378"/>
      <c r="T24" s="379" t="s">
        <v>195</v>
      </c>
      <c r="U24" s="377"/>
      <c r="V24" s="378"/>
      <c r="W24" s="379" t="s">
        <v>152</v>
      </c>
      <c r="X24" s="377"/>
      <c r="Y24" s="378"/>
      <c r="Z24" s="396" t="s">
        <v>196</v>
      </c>
      <c r="AA24" s="397"/>
      <c r="AB24" s="398"/>
      <c r="AC24" s="396" t="s">
        <v>197</v>
      </c>
      <c r="AD24" s="397"/>
      <c r="AE24" s="398"/>
      <c r="AF24" s="379" t="s">
        <v>198</v>
      </c>
      <c r="AG24" s="377"/>
      <c r="AH24" s="378"/>
      <c r="AI24" s="396" t="s">
        <v>199</v>
      </c>
      <c r="AJ24" s="397"/>
      <c r="AK24" s="398"/>
      <c r="AL24" s="379" t="s">
        <v>198</v>
      </c>
      <c r="AM24" s="377"/>
      <c r="AN24" s="378"/>
      <c r="AO24" s="379" t="s">
        <v>198</v>
      </c>
      <c r="AP24" s="377"/>
      <c r="AQ24" s="378"/>
      <c r="AR24" s="379"/>
      <c r="AS24" s="377"/>
      <c r="AT24" s="378"/>
    </row>
    <row r="25" spans="1:46" ht="50" customHeight="1" x14ac:dyDescent="0.2">
      <c r="A25" s="16" t="s">
        <v>200</v>
      </c>
      <c r="B25" s="392" t="s">
        <v>201</v>
      </c>
      <c r="C25" s="392"/>
      <c r="D25" s="392"/>
      <c r="E25" s="364"/>
      <c r="F25" s="364"/>
      <c r="G25" s="364"/>
      <c r="H25" s="364"/>
      <c r="I25" s="364"/>
      <c r="J25" s="364"/>
      <c r="K25" s="388"/>
      <c r="L25" s="364"/>
      <c r="M25" s="364"/>
      <c r="N25" s="364"/>
      <c r="O25" s="364"/>
      <c r="P25" s="364"/>
      <c r="Q25" s="361"/>
      <c r="R25" s="361"/>
      <c r="S25" s="361"/>
      <c r="T25" s="355"/>
      <c r="U25" s="356"/>
      <c r="V25" s="357"/>
      <c r="W25" s="388" t="s">
        <v>114</v>
      </c>
      <c r="X25" s="395"/>
      <c r="Y25" s="395"/>
      <c r="Z25" s="392" t="s">
        <v>202</v>
      </c>
      <c r="AA25" s="392"/>
      <c r="AB25" s="392"/>
      <c r="AC25" s="355"/>
      <c r="AD25" s="356"/>
      <c r="AE25" s="357"/>
      <c r="AF25" s="355"/>
      <c r="AG25" s="356"/>
      <c r="AH25" s="357"/>
      <c r="AI25" s="392"/>
      <c r="AJ25" s="392"/>
      <c r="AK25" s="392"/>
      <c r="AL25" s="355"/>
      <c r="AM25" s="356"/>
      <c r="AN25" s="357"/>
      <c r="AO25" s="389"/>
      <c r="AP25" s="390"/>
      <c r="AQ25" s="391"/>
      <c r="AR25" s="389"/>
      <c r="AS25" s="390"/>
      <c r="AT25" s="391"/>
    </row>
    <row r="26" spans="1:46" ht="50" customHeight="1" x14ac:dyDescent="0.2">
      <c r="A26" s="16" t="s">
        <v>203</v>
      </c>
      <c r="B26" s="364"/>
      <c r="C26" s="364"/>
      <c r="D26" s="364"/>
      <c r="E26" s="364"/>
      <c r="F26" s="364"/>
      <c r="G26" s="364"/>
      <c r="H26" s="364"/>
      <c r="I26" s="364"/>
      <c r="J26" s="364"/>
      <c r="K26" s="364"/>
      <c r="L26" s="364"/>
      <c r="M26" s="364"/>
      <c r="N26" s="364"/>
      <c r="O26" s="364"/>
      <c r="P26" s="364"/>
      <c r="Q26" s="361"/>
      <c r="R26" s="361"/>
      <c r="S26" s="361"/>
      <c r="T26" s="355"/>
      <c r="U26" s="356"/>
      <c r="V26" s="357"/>
      <c r="W26" s="355" t="s">
        <v>204</v>
      </c>
      <c r="X26" s="356"/>
      <c r="Y26" s="357"/>
      <c r="Z26" s="355"/>
      <c r="AA26" s="356"/>
      <c r="AB26" s="357"/>
      <c r="AC26" s="355"/>
      <c r="AD26" s="356"/>
      <c r="AE26" s="357"/>
      <c r="AF26" s="389"/>
      <c r="AG26" s="390"/>
      <c r="AH26" s="391"/>
      <c r="AI26" s="355"/>
      <c r="AJ26" s="356"/>
      <c r="AK26" s="357"/>
      <c r="AL26" s="355"/>
      <c r="AM26" s="356"/>
      <c r="AN26" s="357"/>
      <c r="AO26" s="389"/>
      <c r="AP26" s="390"/>
      <c r="AQ26" s="391"/>
      <c r="AR26" s="389"/>
      <c r="AS26" s="390"/>
      <c r="AT26" s="391"/>
    </row>
    <row r="28" spans="1:46" x14ac:dyDescent="0.2">
      <c r="A28" s="162"/>
      <c r="B28" s="162"/>
      <c r="C28" s="162"/>
      <c r="D28" s="162"/>
      <c r="E28" s="162"/>
      <c r="F28" s="162"/>
      <c r="G28" s="162"/>
      <c r="H28" s="162"/>
      <c r="I28" s="162"/>
      <c r="J28" s="162"/>
      <c r="K28" s="162"/>
      <c r="L28" s="162"/>
      <c r="M28" s="162"/>
      <c r="N28" s="162"/>
      <c r="O28" s="162"/>
      <c r="P28" s="162"/>
    </row>
  </sheetData>
  <sheetProtection algorithmName="SHA-512" hashValue="RjbhBdGbg6/j/qJSzBQvFGhO9K+kXFfuMrqWJX0DuednnehNXWE7XXU7c9XtDGobmhBNVglT1IOrrEGYVyaJzg==" saltValue="m4V3EZZNEG+MG63Afae++A==" spinCount="100000" sheet="1" formatCells="0" formatColumns="0" formatRows="0" insertColumns="0" insertRows="0" insertHyperlinks="0" deleteColumns="0" deleteRows="0" selectLockedCells="1" sort="0" autoFilter="0" pivotTables="0"/>
  <mergeCells count="168">
    <mergeCell ref="K17:M17"/>
    <mergeCell ref="K18:M18"/>
    <mergeCell ref="C13:D13"/>
    <mergeCell ref="B15:D15"/>
    <mergeCell ref="B18:D18"/>
    <mergeCell ref="B19:D19"/>
    <mergeCell ref="B20:D20"/>
    <mergeCell ref="G8:H8"/>
    <mergeCell ref="B9:D9"/>
    <mergeCell ref="G9:H9"/>
    <mergeCell ref="G10:H10"/>
    <mergeCell ref="G11:H11"/>
    <mergeCell ref="E18:G18"/>
    <mergeCell ref="H18:J18"/>
    <mergeCell ref="G13:H13"/>
    <mergeCell ref="I8:M8"/>
    <mergeCell ref="K20:M20"/>
    <mergeCell ref="B8:D8"/>
    <mergeCell ref="B10:D10"/>
    <mergeCell ref="H20:J20"/>
    <mergeCell ref="N18:P18"/>
    <mergeCell ref="Q18:S18"/>
    <mergeCell ref="K19:M19"/>
    <mergeCell ref="A11:A14"/>
    <mergeCell ref="C14:D14"/>
    <mergeCell ref="G15:H15"/>
    <mergeCell ref="B26:D26"/>
    <mergeCell ref="B17:D17"/>
    <mergeCell ref="E17:G17"/>
    <mergeCell ref="H17:J17"/>
    <mergeCell ref="N17:P17"/>
    <mergeCell ref="Q17:S17"/>
    <mergeCell ref="E25:G25"/>
    <mergeCell ref="E26:G26"/>
    <mergeCell ref="H19:J19"/>
    <mergeCell ref="B21:D21"/>
    <mergeCell ref="B22:D22"/>
    <mergeCell ref="B23:D23"/>
    <mergeCell ref="B24:D24"/>
    <mergeCell ref="B25:D25"/>
    <mergeCell ref="K21:M21"/>
    <mergeCell ref="K22:M22"/>
    <mergeCell ref="K23:M23"/>
    <mergeCell ref="K24:M24"/>
    <mergeCell ref="AC18:AE18"/>
    <mergeCell ref="AF18:AH18"/>
    <mergeCell ref="AI18:AK18"/>
    <mergeCell ref="AL18:AN18"/>
    <mergeCell ref="AO18:AQ18"/>
    <mergeCell ref="AR18:AT18"/>
    <mergeCell ref="AL17:AN17"/>
    <mergeCell ref="AO17:AQ17"/>
    <mergeCell ref="AR17:AT17"/>
    <mergeCell ref="AC17:AE17"/>
    <mergeCell ref="AF17:AH17"/>
    <mergeCell ref="AI17:AK17"/>
    <mergeCell ref="AI20:AK20"/>
    <mergeCell ref="AL20:AN20"/>
    <mergeCell ref="AO20:AQ20"/>
    <mergeCell ref="AR20:AT20"/>
    <mergeCell ref="AL19:AN19"/>
    <mergeCell ref="AO19:AQ19"/>
    <mergeCell ref="AR19:AT19"/>
    <mergeCell ref="T19:V19"/>
    <mergeCell ref="W19:Y19"/>
    <mergeCell ref="Z19:AB19"/>
    <mergeCell ref="AC19:AE19"/>
    <mergeCell ref="AF19:AH19"/>
    <mergeCell ref="AI19:AK19"/>
    <mergeCell ref="AI25:AK25"/>
    <mergeCell ref="AR23:AT23"/>
    <mergeCell ref="T21:V21"/>
    <mergeCell ref="W21:Y21"/>
    <mergeCell ref="Z21:AB21"/>
    <mergeCell ref="AC21:AE21"/>
    <mergeCell ref="AF21:AH21"/>
    <mergeCell ref="AI21:AK21"/>
    <mergeCell ref="AL21:AN21"/>
    <mergeCell ref="AO21:AQ21"/>
    <mergeCell ref="AR21:AT21"/>
    <mergeCell ref="AI23:AK23"/>
    <mergeCell ref="AL23:AN23"/>
    <mergeCell ref="T22:V22"/>
    <mergeCell ref="W22:Y22"/>
    <mergeCell ref="Z22:AB22"/>
    <mergeCell ref="AC22:AE22"/>
    <mergeCell ref="AF22:AH22"/>
    <mergeCell ref="AI22:AK22"/>
    <mergeCell ref="AO23:AQ23"/>
    <mergeCell ref="AL22:AN22"/>
    <mergeCell ref="AO22:AQ22"/>
    <mergeCell ref="AR22:AT22"/>
    <mergeCell ref="T23:V23"/>
    <mergeCell ref="AR24:AT24"/>
    <mergeCell ref="T24:V24"/>
    <mergeCell ref="W24:Y24"/>
    <mergeCell ref="Z24:AB24"/>
    <mergeCell ref="AC24:AE24"/>
    <mergeCell ref="AF24:AH24"/>
    <mergeCell ref="AI24:AK24"/>
    <mergeCell ref="AL24:AN24"/>
    <mergeCell ref="AO24:AQ24"/>
    <mergeCell ref="K26:M26"/>
    <mergeCell ref="AO26:AQ26"/>
    <mergeCell ref="AR26:AT26"/>
    <mergeCell ref="E19:G19"/>
    <mergeCell ref="E20:G20"/>
    <mergeCell ref="E21:G21"/>
    <mergeCell ref="E22:G22"/>
    <mergeCell ref="E23:G23"/>
    <mergeCell ref="E24:G24"/>
    <mergeCell ref="AL25:AN25"/>
    <mergeCell ref="AO25:AQ25"/>
    <mergeCell ref="AR25:AT25"/>
    <mergeCell ref="T26:V26"/>
    <mergeCell ref="W26:Y26"/>
    <mergeCell ref="Z26:AB26"/>
    <mergeCell ref="AC26:AE26"/>
    <mergeCell ref="AF26:AH26"/>
    <mergeCell ref="AI26:AK26"/>
    <mergeCell ref="AL26:AN26"/>
    <mergeCell ref="N20:P20"/>
    <mergeCell ref="N21:P21"/>
    <mergeCell ref="T25:V25"/>
    <mergeCell ref="W25:Y25"/>
    <mergeCell ref="Z25:AB25"/>
    <mergeCell ref="N19:P19"/>
    <mergeCell ref="H21:J21"/>
    <mergeCell ref="H22:J22"/>
    <mergeCell ref="H23:J23"/>
    <mergeCell ref="H24:J24"/>
    <mergeCell ref="Q25:S25"/>
    <mergeCell ref="Z23:AB23"/>
    <mergeCell ref="AC23:AE23"/>
    <mergeCell ref="AF23:AH23"/>
    <mergeCell ref="AC25:AE25"/>
    <mergeCell ref="AF25:AH25"/>
    <mergeCell ref="W23:Y23"/>
    <mergeCell ref="T20:V20"/>
    <mergeCell ref="W20:Y20"/>
    <mergeCell ref="Z20:AB20"/>
    <mergeCell ref="AC20:AE20"/>
    <mergeCell ref="AF20:AH20"/>
    <mergeCell ref="K25:M25"/>
    <mergeCell ref="T17:V17"/>
    <mergeCell ref="T18:V18"/>
    <mergeCell ref="Z17:AB17"/>
    <mergeCell ref="W17:Y17"/>
    <mergeCell ref="Z18:AB18"/>
    <mergeCell ref="W18:Y18"/>
    <mergeCell ref="Q26:S26"/>
    <mergeCell ref="A28:P28"/>
    <mergeCell ref="I9:M13"/>
    <mergeCell ref="C11:D11"/>
    <mergeCell ref="C12:D12"/>
    <mergeCell ref="N25:P25"/>
    <mergeCell ref="N26:P26"/>
    <mergeCell ref="Q19:S19"/>
    <mergeCell ref="Q20:S20"/>
    <mergeCell ref="Q21:S21"/>
    <mergeCell ref="Q22:S22"/>
    <mergeCell ref="Q23:S23"/>
    <mergeCell ref="Q24:S24"/>
    <mergeCell ref="H25:J25"/>
    <mergeCell ref="H26:J26"/>
    <mergeCell ref="N22:P22"/>
    <mergeCell ref="N23:P23"/>
    <mergeCell ref="N24:P24"/>
  </mergeCells>
  <phoneticPr fontId="23" type="noConversion"/>
  <dataValidations count="6">
    <dataValidation type="list" allowBlank="1" showInputMessage="1" showErrorMessage="1" sqref="G13:H14" xr:uid="{945CE9B9-B36C-4E8D-8774-0A2B97B42C7A}">
      <formula1>"Selecciona,Si,No"</formula1>
    </dataValidation>
    <dataValidation type="list" allowBlank="1" showInputMessage="1" showErrorMessage="1" sqref="G12:H12" xr:uid="{03B5F593-41CD-4B69-8697-2B4C9E4EBC1F}">
      <formula1>"Selecciona,Alto,Medio,Bajo"</formula1>
    </dataValidation>
    <dataValidation type="list" allowBlank="1" showInputMessage="1" showErrorMessage="1" sqref="G8:H11" xr:uid="{43DC1028-B602-4067-B7FB-513DCC969047}">
      <formula1>"Selecciona,Normal,Estandar,Emergente"</formula1>
    </dataValidation>
    <dataValidation type="list" allowBlank="1" showInputMessage="1" showErrorMessage="1" sqref="B15:D15" xr:uid="{346846ED-9556-4710-80F2-5A41B03D8E0C}">
      <formula1>"Selecciona,PROD,QA1,QA2,QA3"</formula1>
    </dataValidation>
    <dataValidation type="list" allowBlank="1" showInputMessage="1" showErrorMessage="1" sqref="K18:AT18" xr:uid="{EE957485-4A5D-474E-AC6D-0209F2D3D6D3}">
      <formula1>"Selecciona,Lambda (serveless),APPSYNC,Docker -AWS,Server AWS(EKS),Server AWS (EC2),Server KIO IIS,Amplify"</formula1>
    </dataValidation>
    <dataValidation type="list" allowBlank="1" showInputMessage="1" showErrorMessage="1" sqref="K19:AT19" xr:uid="{AD3650CB-8C0C-4549-811E-17DD2EAD7256}">
      <formula1>"Privado (No se expone a internet), Público (Se expone a internet)"</formula1>
    </dataValidation>
  </dataValidations>
  <hyperlinks>
    <hyperlink ref="B20" r:id="rId1" xr:uid="{A1BA23C9-6DC0-4EBB-AFC4-EFE34AC92A9E}"/>
    <hyperlink ref="E20:G20" r:id="rId2" display="https://github.com/MacropayTD/back-programa-lealtad-app" xr:uid="{247A0DF8-CC76-4B9F-9DB2-8A0ADAC95335}"/>
    <hyperlink ref="E20" r:id="rId3" xr:uid="{3D19DC17-E559-4DA5-9F09-C8DDEC00D8E1}"/>
    <hyperlink ref="H20" r:id="rId4" xr:uid="{3DB23CD4-853B-4E7A-9910-F9F19A1B43CF}"/>
    <hyperlink ref="K20:M20" r:id="rId5" display="https://github.com/MacropayTD/api-infobip-chatbot" xr:uid="{8E77A360-59D5-4FCE-8F91-2A4F32D12C1B}"/>
    <hyperlink ref="N20:P20" r:id="rId6" display="https://github.com/MacropayTD/mcp-benefits-wallets-api" xr:uid="{22E3FA15-19F2-4DFE-AFD2-B0BBCA29752E}"/>
    <hyperlink ref="Q20:S20" r:id="rId7" display="https://github.com/MacropayTD/front-pf-calculator" xr:uid="{9C102A2D-6F14-4C28-BD3B-4330121C44C2}"/>
    <hyperlink ref="T20:V20" r:id="rId8" display="https://github.com/MacropayTD/front-pf-payments" xr:uid="{D1835201-B135-49DB-B398-59B0DD8EF70B}"/>
    <hyperlink ref="W20:Y20" r:id="rId9" display="https://github.com/MacropayTD/front-pf-payments" xr:uid="{D0227D94-EB50-4146-A286-797CB4EAF3A8}"/>
    <hyperlink ref="Z20:AB20" r:id="rId10" display="https://github.com/MacropayTD/midd-macropay-club" xr:uid="{4D7E822C-220D-496C-94DF-D8AEE7299B60}"/>
    <hyperlink ref="Z25:AB25" r:id="rId11" display="https://club-macropay-qa3.macropay.mx" xr:uid="{5C8E954C-56B1-40A1-8865-42C8FDA85555}"/>
    <hyperlink ref="AC20:AE20" r:id="rId12" display="https://github.com/MacropayTD/back-apiapp-apartadito" xr:uid="{736891EB-2BAD-499D-8D0D-15D454D03F95}"/>
    <hyperlink ref="AF20:AH20" r:id="rId13" display="https://github.com/MacropayTD/back-macropay-api-migracion" xr:uid="{A1D3B613-5EE3-4466-B4B8-657E0A2D5A33}"/>
    <hyperlink ref="AI20:AK20" r:id="rId14" display="https://github.com/MacropayTD/midd-pf-calculator" xr:uid="{D3B5EBD3-EEFB-43C6-AAE9-2DFBBA1C3B0B}"/>
    <hyperlink ref="AL20:AN20" r:id="rId15" display="https://github.com/MacropayTD/back-api-ticket-pos" xr:uid="{3295518F-F9E5-4E58-9A6E-15B8716D4B1C}"/>
    <hyperlink ref="AO20:AQ20" r:id="rId16" display="https://github.com/MacropayTD/back-api-ticket-pos" xr:uid="{8E1116E5-C009-4AFE-8242-3F095A2C114A}"/>
    <hyperlink ref="AO20" r:id="rId17" xr:uid="{9DF540C2-F9F3-40C8-874A-B6BABA19A230}"/>
    <hyperlink ref="B25:D25" r:id="rId18" display="https://pxprd.macropay.mx" xr:uid="{5C0D9986-A864-4812-BD15-919325AACBF9}"/>
  </hyperlinks>
  <pageMargins left="0.7" right="0.7" top="0.75" bottom="0.75" header="0.3" footer="0.3"/>
  <pageSetup orientation="portrait" r:id="rId19"/>
  <drawing r:id="rId2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786F3-A898-4A1F-82C9-05B16DEACE49}">
  <dimension ref="A8:R27"/>
  <sheetViews>
    <sheetView showGridLines="0" topLeftCell="A14" zoomScale="85" zoomScaleNormal="85" zoomScalePageLayoutView="85" workbookViewId="0">
      <selection activeCell="B20" sqref="B20:H20"/>
    </sheetView>
  </sheetViews>
  <sheetFormatPr baseColWidth="10" defaultColWidth="10.83203125" defaultRowHeight="15" x14ac:dyDescent="0.2"/>
  <cols>
    <col min="1" max="1" width="28.5" style="18" customWidth="1"/>
    <col min="2" max="2" width="27.5" style="18" customWidth="1"/>
    <col min="3" max="3" width="10.83203125" style="18"/>
    <col min="4" max="4" width="16.5" style="18" customWidth="1"/>
    <col min="5" max="5" width="10.5" style="18" customWidth="1"/>
    <col min="6" max="6" width="26.5" style="18" customWidth="1"/>
    <col min="7" max="7" width="14.5" style="18" customWidth="1"/>
    <col min="8" max="8" width="10.5" style="18" customWidth="1"/>
    <col min="9" max="9" width="14.5" style="18" customWidth="1"/>
    <col min="10" max="10" width="15" style="18" customWidth="1"/>
    <col min="11" max="11" width="10.83203125" style="18" customWidth="1"/>
    <col min="12" max="12" width="16.5" style="18" customWidth="1"/>
    <col min="13" max="16384" width="10.83203125" style="18"/>
  </cols>
  <sheetData>
    <row r="8" spans="1:18" ht="21.5" customHeight="1" thickBot="1" x14ac:dyDescent="0.25">
      <c r="A8" s="39" t="str">
        <f>EV.RIESGO!A8</f>
        <v>ID del proyecto:</v>
      </c>
      <c r="B8" s="421" t="str">
        <f>EV.RIESGO!B8</f>
        <v>com001-pe26 | td029-bf26</v>
      </c>
      <c r="C8" s="422"/>
      <c r="D8" s="423"/>
      <c r="E8" s="40"/>
      <c r="F8" s="41" t="str">
        <f>EV.RIESGO!F8</f>
        <v>Tipo de Cambio:</v>
      </c>
      <c r="G8" s="417" t="str">
        <f>EV.RIESGO!G8</f>
        <v>Normal</v>
      </c>
      <c r="H8" s="417"/>
      <c r="I8" s="425" t="str">
        <f>EV.RIESGO!I8</f>
        <v>Comentarios adicionales.</v>
      </c>
      <c r="J8" s="426"/>
      <c r="K8" s="426"/>
      <c r="L8" s="427"/>
      <c r="M8" s="75"/>
      <c r="N8" s="139" t="s">
        <v>41</v>
      </c>
      <c r="O8" s="140"/>
      <c r="P8" s="140"/>
      <c r="Q8" s="140"/>
      <c r="R8" s="141"/>
    </row>
    <row r="9" spans="1:18" ht="21.5" customHeight="1" x14ac:dyDescent="0.2">
      <c r="A9" s="39" t="str">
        <f>EV.RIESGO!A9</f>
        <v>Nombre del proyecto</v>
      </c>
      <c r="B9" s="421" t="str">
        <f>EV.RIESGO!B9</f>
        <v>Club Macropay | Compras con Macropesos no descuentan los Macropesos usados a los  clientes</v>
      </c>
      <c r="C9" s="422"/>
      <c r="D9" s="423"/>
      <c r="E9" s="40"/>
      <c r="F9" s="41" t="str">
        <f>EV.RIESGO!F9</f>
        <v>Prioridad:</v>
      </c>
      <c r="G9" s="417" t="str">
        <f>EV.RIESGO!G9</f>
        <v>Alta</v>
      </c>
      <c r="H9" s="417"/>
      <c r="I9" s="432"/>
      <c r="J9" s="433"/>
      <c r="K9" s="433"/>
      <c r="L9" s="434"/>
      <c r="M9" s="19"/>
      <c r="N9" s="317">
        <f>COUNTIF(N18:R27,"Completado")/(COUNTA(N18:R27))</f>
        <v>0</v>
      </c>
      <c r="O9" s="143"/>
      <c r="P9" s="143"/>
      <c r="Q9" s="143"/>
      <c r="R9" s="318"/>
    </row>
    <row r="10" spans="1:18" ht="21.5" customHeight="1" x14ac:dyDescent="0.2">
      <c r="A10" s="39" t="str">
        <f>EV.RIESGO!A10</f>
        <v>Plataformas impactadas:</v>
      </c>
      <c r="B10" s="421" t="str">
        <f>EV.RIESGO!B10</f>
        <v>PF, POS, APP, Mulesfort, Salesforce, Infobip</v>
      </c>
      <c r="C10" s="422"/>
      <c r="D10" s="423"/>
      <c r="E10" s="43"/>
      <c r="F10" s="41" t="str">
        <f>EV.RIESGO!F10</f>
        <v>Riesgo:</v>
      </c>
      <c r="G10" s="417" t="str">
        <f>EV.RIESGO!G10</f>
        <v>Medio</v>
      </c>
      <c r="H10" s="417"/>
      <c r="I10" s="435"/>
      <c r="J10" s="436"/>
      <c r="K10" s="436"/>
      <c r="L10" s="437"/>
      <c r="M10" s="19"/>
      <c r="N10" s="319"/>
      <c r="O10" s="146"/>
      <c r="P10" s="146"/>
      <c r="Q10" s="146"/>
      <c r="R10" s="320"/>
    </row>
    <row r="11" spans="1:18" ht="21.5" customHeight="1" x14ac:dyDescent="0.2">
      <c r="A11" s="412" t="str">
        <f>EV.RIESGO!A11</f>
        <v>Líder del Cambio:</v>
      </c>
      <c r="B11" s="74" t="str">
        <f>EV.RIESGO!B11</f>
        <v>Arquitecto</v>
      </c>
      <c r="C11" s="363" t="str">
        <f>EV.RIESGO!C11</f>
        <v>Henry Suárez Hernández/Jonathan Mauricio López</v>
      </c>
      <c r="D11" s="363"/>
      <c r="E11" s="43"/>
      <c r="F11" s="41" t="str">
        <f>EV.RIESGO!F11</f>
        <v>Afecta la operación:</v>
      </c>
      <c r="G11" s="417" t="str">
        <f>EV.RIESGO!G11</f>
        <v>Si</v>
      </c>
      <c r="H11" s="417"/>
      <c r="I11" s="435"/>
      <c r="J11" s="436"/>
      <c r="K11" s="436"/>
      <c r="L11" s="437"/>
      <c r="M11" s="19"/>
      <c r="N11" s="319"/>
      <c r="O11" s="146"/>
      <c r="P11" s="146"/>
      <c r="Q11" s="146"/>
      <c r="R11" s="320"/>
    </row>
    <row r="12" spans="1:18" ht="21.5" customHeight="1" x14ac:dyDescent="0.2">
      <c r="A12" s="413"/>
      <c r="B12" s="74" t="str">
        <f>EV.RIESGO!B12</f>
        <v>Project Manager</v>
      </c>
      <c r="C12" s="363" t="str">
        <f>EV.RIESGO!C12</f>
        <v>Maria Alicia Moguel | Ivan Torres</v>
      </c>
      <c r="D12" s="363"/>
      <c r="E12" s="43"/>
      <c r="F12" s="44"/>
      <c r="G12" s="45"/>
      <c r="H12" s="45"/>
      <c r="I12" s="435"/>
      <c r="J12" s="436"/>
      <c r="K12" s="436"/>
      <c r="L12" s="437"/>
      <c r="M12" s="19"/>
      <c r="N12" s="319"/>
      <c r="O12" s="146"/>
      <c r="P12" s="146"/>
      <c r="Q12" s="146"/>
      <c r="R12" s="320"/>
    </row>
    <row r="13" spans="1:18" ht="21.5" customHeight="1" thickBot="1" x14ac:dyDescent="0.25">
      <c r="A13" s="413"/>
      <c r="B13" s="74" t="str">
        <f>EV.RIESGO!B13</f>
        <v xml:space="preserve">Líder de Célula </v>
      </c>
      <c r="C13" s="363" t="str">
        <f>EV.RIESGO!C13</f>
        <v>Pablo Genaro Sanchez</v>
      </c>
      <c r="D13" s="363"/>
      <c r="E13" s="43"/>
      <c r="F13" s="44"/>
      <c r="G13" s="424"/>
      <c r="H13" s="424"/>
      <c r="I13" s="438"/>
      <c r="J13" s="439"/>
      <c r="K13" s="439"/>
      <c r="L13" s="440"/>
      <c r="M13" s="19"/>
      <c r="N13" s="321"/>
      <c r="O13" s="322"/>
      <c r="P13" s="322"/>
      <c r="Q13" s="322"/>
      <c r="R13" s="323"/>
    </row>
    <row r="14" spans="1:18" ht="21.5" customHeight="1" x14ac:dyDescent="0.2">
      <c r="A14" s="414"/>
      <c r="B14" s="74" t="str">
        <f>EV.RIESGO!B14</f>
        <v xml:space="preserve">Líder Técnico </v>
      </c>
      <c r="C14" s="363" t="str">
        <f>EV.RIESGO!C14</f>
        <v>Pablo Genaro Sanchez</v>
      </c>
      <c r="D14" s="363"/>
      <c r="E14" s="43"/>
      <c r="F14" s="44"/>
      <c r="G14" s="45"/>
      <c r="H14" s="45"/>
      <c r="I14" s="20"/>
      <c r="J14" s="20"/>
      <c r="K14" s="20"/>
      <c r="L14" s="20"/>
      <c r="M14" s="19"/>
      <c r="N14" s="46"/>
      <c r="O14" s="46"/>
      <c r="P14" s="46"/>
      <c r="Q14" s="46"/>
      <c r="R14" s="46"/>
    </row>
    <row r="15" spans="1:18" ht="21.5" customHeight="1" x14ac:dyDescent="0.2">
      <c r="A15" s="39" t="str">
        <f>EV.RIESGO!A15</f>
        <v>Ambiente:</v>
      </c>
      <c r="B15" s="441" t="str">
        <f>EV.RIESGO!B15</f>
        <v>PROD</v>
      </c>
      <c r="C15" s="441"/>
      <c r="D15" s="441"/>
      <c r="E15" s="43"/>
      <c r="F15" s="44"/>
      <c r="G15" s="45"/>
      <c r="H15" s="45"/>
      <c r="I15" s="20"/>
      <c r="J15" s="20"/>
      <c r="K15" s="20"/>
      <c r="L15" s="20"/>
      <c r="M15" s="20"/>
      <c r="N15" s="46"/>
      <c r="O15" s="46"/>
      <c r="P15" s="46"/>
      <c r="Q15" s="46"/>
      <c r="R15" s="46"/>
    </row>
    <row r="16" spans="1:18" ht="8" customHeight="1" x14ac:dyDescent="0.2"/>
    <row r="17" spans="1:18" s="20" customFormat="1" ht="45" customHeight="1" x14ac:dyDescent="0.2">
      <c r="A17" s="47" t="s">
        <v>131</v>
      </c>
      <c r="B17" s="157" t="s">
        <v>205</v>
      </c>
      <c r="C17" s="158"/>
      <c r="D17" s="158"/>
      <c r="E17" s="158"/>
      <c r="F17" s="158"/>
      <c r="G17" s="158"/>
      <c r="H17" s="159"/>
      <c r="I17" s="47" t="s">
        <v>44</v>
      </c>
      <c r="J17" s="49" t="s">
        <v>72</v>
      </c>
      <c r="K17" s="154" t="s">
        <v>74</v>
      </c>
      <c r="L17" s="155"/>
      <c r="N17" s="352" t="s">
        <v>75</v>
      </c>
      <c r="O17" s="353"/>
      <c r="P17" s="353"/>
      <c r="Q17" s="353"/>
      <c r="R17" s="354"/>
    </row>
    <row r="18" spans="1:18" ht="50" customHeight="1" x14ac:dyDescent="0.2">
      <c r="A18" s="50">
        <v>1</v>
      </c>
      <c r="B18" s="355" t="s">
        <v>206</v>
      </c>
      <c r="C18" s="356"/>
      <c r="D18" s="356"/>
      <c r="E18" s="356"/>
      <c r="F18" s="356"/>
      <c r="G18" s="356"/>
      <c r="H18" s="357"/>
      <c r="I18" s="51" t="s">
        <v>47</v>
      </c>
      <c r="J18" s="76"/>
      <c r="K18" s="121"/>
      <c r="L18" s="121"/>
      <c r="N18" s="431" t="s">
        <v>79</v>
      </c>
      <c r="O18" s="431"/>
      <c r="P18" s="431"/>
      <c r="Q18" s="431"/>
      <c r="R18" s="431"/>
    </row>
    <row r="19" spans="1:18" ht="50" customHeight="1" x14ac:dyDescent="0.2">
      <c r="A19" s="50">
        <v>2</v>
      </c>
      <c r="B19" s="355" t="s">
        <v>207</v>
      </c>
      <c r="C19" s="356"/>
      <c r="D19" s="356"/>
      <c r="E19" s="356"/>
      <c r="F19" s="356"/>
      <c r="G19" s="356"/>
      <c r="H19" s="357"/>
      <c r="I19" s="51" t="s">
        <v>47</v>
      </c>
      <c r="J19" s="76"/>
      <c r="K19" s="121"/>
      <c r="L19" s="121"/>
      <c r="N19" s="431" t="s">
        <v>79</v>
      </c>
      <c r="O19" s="431"/>
      <c r="P19" s="431"/>
      <c r="Q19" s="431"/>
      <c r="R19" s="431"/>
    </row>
    <row r="20" spans="1:18" ht="50" customHeight="1" x14ac:dyDescent="0.2">
      <c r="A20" s="50">
        <v>3</v>
      </c>
      <c r="B20" s="355"/>
      <c r="C20" s="356"/>
      <c r="D20" s="356"/>
      <c r="E20" s="356"/>
      <c r="F20" s="356"/>
      <c r="G20" s="356"/>
      <c r="H20" s="357"/>
      <c r="I20" s="51" t="s">
        <v>47</v>
      </c>
      <c r="J20" s="76"/>
      <c r="K20" s="121"/>
      <c r="L20" s="121"/>
      <c r="N20" s="431" t="s">
        <v>79</v>
      </c>
      <c r="O20" s="431"/>
      <c r="P20" s="431"/>
      <c r="Q20" s="431"/>
      <c r="R20" s="431"/>
    </row>
    <row r="21" spans="1:18" ht="50" customHeight="1" x14ac:dyDescent="0.2">
      <c r="A21" s="50">
        <v>4</v>
      </c>
      <c r="B21" s="355"/>
      <c r="C21" s="356"/>
      <c r="D21" s="356"/>
      <c r="E21" s="356"/>
      <c r="F21" s="356"/>
      <c r="G21" s="356"/>
      <c r="H21" s="357"/>
      <c r="I21" s="51" t="s">
        <v>47</v>
      </c>
      <c r="J21" s="76"/>
      <c r="K21" s="121"/>
      <c r="L21" s="121"/>
      <c r="N21" s="431" t="s">
        <v>79</v>
      </c>
      <c r="O21" s="431"/>
      <c r="P21" s="431"/>
      <c r="Q21" s="431"/>
      <c r="R21" s="431"/>
    </row>
    <row r="22" spans="1:18" ht="50" customHeight="1" x14ac:dyDescent="0.2">
      <c r="A22" s="50">
        <v>5</v>
      </c>
      <c r="B22" s="428"/>
      <c r="C22" s="429"/>
      <c r="D22" s="429"/>
      <c r="E22" s="429"/>
      <c r="F22" s="429"/>
      <c r="G22" s="429"/>
      <c r="H22" s="430"/>
      <c r="I22" s="51" t="s">
        <v>47</v>
      </c>
      <c r="J22" s="76"/>
      <c r="K22" s="121"/>
      <c r="L22" s="121"/>
      <c r="N22" s="431" t="s">
        <v>79</v>
      </c>
      <c r="O22" s="431"/>
      <c r="P22" s="431"/>
      <c r="Q22" s="431"/>
      <c r="R22" s="431"/>
    </row>
    <row r="23" spans="1:18" ht="50" customHeight="1" x14ac:dyDescent="0.2">
      <c r="A23" s="50">
        <v>6</v>
      </c>
      <c r="B23" s="428"/>
      <c r="C23" s="429"/>
      <c r="D23" s="429"/>
      <c r="E23" s="429"/>
      <c r="F23" s="429"/>
      <c r="G23" s="429"/>
      <c r="H23" s="430"/>
      <c r="I23" s="51" t="s">
        <v>47</v>
      </c>
      <c r="J23" s="76"/>
      <c r="K23" s="121"/>
      <c r="L23" s="121"/>
      <c r="N23" s="431" t="s">
        <v>79</v>
      </c>
      <c r="O23" s="431"/>
      <c r="P23" s="431"/>
      <c r="Q23" s="431"/>
      <c r="R23" s="431"/>
    </row>
    <row r="24" spans="1:18" ht="50" customHeight="1" x14ac:dyDescent="0.2">
      <c r="A24" s="50">
        <v>7</v>
      </c>
      <c r="B24" s="428"/>
      <c r="C24" s="429"/>
      <c r="D24" s="429"/>
      <c r="E24" s="429"/>
      <c r="F24" s="429"/>
      <c r="G24" s="429"/>
      <c r="H24" s="430"/>
      <c r="I24" s="51" t="s">
        <v>47</v>
      </c>
      <c r="J24" s="76"/>
      <c r="K24" s="121"/>
      <c r="L24" s="121"/>
      <c r="N24" s="431" t="s">
        <v>79</v>
      </c>
      <c r="O24" s="431"/>
      <c r="P24" s="431"/>
      <c r="Q24" s="431"/>
      <c r="R24" s="431"/>
    </row>
    <row r="25" spans="1:18" ht="50" customHeight="1" x14ac:dyDescent="0.2">
      <c r="A25" s="50">
        <v>8</v>
      </c>
      <c r="B25" s="428"/>
      <c r="C25" s="429"/>
      <c r="D25" s="429"/>
      <c r="E25" s="429"/>
      <c r="F25" s="429"/>
      <c r="G25" s="429"/>
      <c r="H25" s="430"/>
      <c r="I25" s="51" t="s">
        <v>47</v>
      </c>
      <c r="J25" s="76"/>
      <c r="K25" s="121"/>
      <c r="L25" s="121"/>
      <c r="N25" s="431" t="s">
        <v>79</v>
      </c>
      <c r="O25" s="431"/>
      <c r="P25" s="431"/>
      <c r="Q25" s="431"/>
      <c r="R25" s="431"/>
    </row>
    <row r="26" spans="1:18" ht="50" customHeight="1" x14ac:dyDescent="0.2">
      <c r="A26" s="50">
        <v>9</v>
      </c>
      <c r="B26" s="428"/>
      <c r="C26" s="429"/>
      <c r="D26" s="429"/>
      <c r="E26" s="429"/>
      <c r="F26" s="429"/>
      <c r="G26" s="429"/>
      <c r="H26" s="430"/>
      <c r="I26" s="51" t="s">
        <v>47</v>
      </c>
      <c r="J26" s="76"/>
      <c r="K26" s="121"/>
      <c r="L26" s="121"/>
      <c r="N26" s="431" t="s">
        <v>79</v>
      </c>
      <c r="O26" s="431"/>
      <c r="P26" s="431"/>
      <c r="Q26" s="431"/>
      <c r="R26" s="431"/>
    </row>
    <row r="27" spans="1:18" ht="50" customHeight="1" x14ac:dyDescent="0.2">
      <c r="A27" s="50">
        <v>10</v>
      </c>
      <c r="B27" s="428"/>
      <c r="C27" s="429"/>
      <c r="D27" s="429"/>
      <c r="E27" s="429"/>
      <c r="F27" s="429"/>
      <c r="G27" s="429"/>
      <c r="H27" s="430"/>
      <c r="I27" s="51" t="s">
        <v>47</v>
      </c>
      <c r="J27" s="76"/>
      <c r="K27" s="121"/>
      <c r="L27" s="121"/>
      <c r="N27" s="431" t="s">
        <v>79</v>
      </c>
      <c r="O27" s="431"/>
      <c r="P27" s="431"/>
      <c r="Q27" s="431"/>
      <c r="R27" s="431"/>
    </row>
  </sheetData>
  <sheetProtection algorithmName="SHA-512" hashValue="6IP60bpAsT6CAB+jXTyiArqaPo8lJ95yr+/u2qvVOoc3bqu+Z54M0ItY41K3/qibG5Y1ExxZlV97HkkCIN8A0Q==" saltValue="wZVEXwT+va1dXiFCN1aLfw==" spinCount="100000" sheet="1" formatCells="0" formatColumns="0" formatRows="0" insertColumns="0" insertRows="0" insertHyperlinks="0" deleteColumns="0" deleteRows="0" selectLockedCells="1" sort="0" autoFilter="0" pivotTables="0"/>
  <mergeCells count="51">
    <mergeCell ref="B21:H21"/>
    <mergeCell ref="B15:D15"/>
    <mergeCell ref="C14:D14"/>
    <mergeCell ref="C12:D12"/>
    <mergeCell ref="A11:A14"/>
    <mergeCell ref="B18:H18"/>
    <mergeCell ref="B19:H19"/>
    <mergeCell ref="B20:H20"/>
    <mergeCell ref="N8:R8"/>
    <mergeCell ref="I8:L8"/>
    <mergeCell ref="N9:R13"/>
    <mergeCell ref="N17:R17"/>
    <mergeCell ref="G10:H10"/>
    <mergeCell ref="G11:H11"/>
    <mergeCell ref="B17:H17"/>
    <mergeCell ref="I9:L13"/>
    <mergeCell ref="G8:H8"/>
    <mergeCell ref="B9:D9"/>
    <mergeCell ref="G9:H9"/>
    <mergeCell ref="G13:H13"/>
    <mergeCell ref="B8:D8"/>
    <mergeCell ref="B10:D10"/>
    <mergeCell ref="C13:D13"/>
    <mergeCell ref="C11:D11"/>
    <mergeCell ref="N27:R27"/>
    <mergeCell ref="N18:R18"/>
    <mergeCell ref="N19:R19"/>
    <mergeCell ref="N20:R20"/>
    <mergeCell ref="N21:R21"/>
    <mergeCell ref="N22:R22"/>
    <mergeCell ref="B26:H26"/>
    <mergeCell ref="N23:R23"/>
    <mergeCell ref="N24:R24"/>
    <mergeCell ref="N25:R25"/>
    <mergeCell ref="N26:R26"/>
    <mergeCell ref="B27:H27"/>
    <mergeCell ref="K17:L17"/>
    <mergeCell ref="K18:L18"/>
    <mergeCell ref="K19:L19"/>
    <mergeCell ref="K20:L20"/>
    <mergeCell ref="K21:L21"/>
    <mergeCell ref="K22:L22"/>
    <mergeCell ref="K23:L23"/>
    <mergeCell ref="K24:L24"/>
    <mergeCell ref="K25:L25"/>
    <mergeCell ref="K26:L26"/>
    <mergeCell ref="K27:L27"/>
    <mergeCell ref="B22:H22"/>
    <mergeCell ref="B23:H23"/>
    <mergeCell ref="B24:H24"/>
    <mergeCell ref="B25:H25"/>
  </mergeCells>
  <conditionalFormatting sqref="N18:R27">
    <cfRule type="cellIs" dxfId="8" priority="1" operator="equal">
      <formula>"En espera"</formula>
    </cfRule>
    <cfRule type="cellIs" dxfId="7" priority="2" operator="equal">
      <formula>"Completado"</formula>
    </cfRule>
    <cfRule type="cellIs" dxfId="6" priority="3" operator="equal">
      <formula>"Error"</formula>
    </cfRule>
  </conditionalFormatting>
  <dataValidations count="5">
    <dataValidation type="list" allowBlank="1" showInputMessage="1" showErrorMessage="1" sqref="G13:H15" xr:uid="{3C442E5B-AF5C-45DC-BCE6-9CD3D87DF25E}">
      <formula1>"Selecciona,Si,No"</formula1>
    </dataValidation>
    <dataValidation type="list" allowBlank="1" showInputMessage="1" showErrorMessage="1" sqref="G12:H12" xr:uid="{8F47AB82-CBF0-4CBA-A856-CE7A395FE2C1}">
      <formula1>"Selecciona,Alto,Medio,Bajo"</formula1>
    </dataValidation>
    <dataValidation type="list" allowBlank="1" showInputMessage="1" showErrorMessage="1" sqref="G8:H11" xr:uid="{4D05CDFF-AE2C-4937-A500-1BFC1AC457FE}">
      <formula1>"Selecciona,Normal,Estandar,Emergente"</formula1>
    </dataValidation>
    <dataValidation type="list" allowBlank="1" showInputMessage="1" showErrorMessage="1" sqref="B15:D15" xr:uid="{2904EA5B-1F7A-4AB5-9F4D-30B2F3E26B2C}">
      <formula1>"Selecciona,PROD,QA1,QA2,QA3"</formula1>
    </dataValidation>
    <dataValidation type="list" allowBlank="1" showInputMessage="1" showErrorMessage="1" sqref="N18:R27" xr:uid="{FF5F4F27-9373-42B2-BC41-5878DE3051CF}">
      <formula1>"En espera, Completado, Error,En Proceso"</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9D8DF769-DA6F-4DF0-BDED-30DB8FA2F6D5}">
          <x14:formula1>
            <xm:f>RFC!$E$20:$E$31</xm:f>
          </x14:formula1>
          <xm:sqref>I18:I27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4055B-AFEC-4F29-AF4B-6006525A0E46}">
  <dimension ref="A7:S1662"/>
  <sheetViews>
    <sheetView showGridLines="0" topLeftCell="A8" zoomScale="85" zoomScaleNormal="85" zoomScalePageLayoutView="85" workbookViewId="0">
      <selection activeCell="G40" sqref="G40:H40"/>
    </sheetView>
  </sheetViews>
  <sheetFormatPr baseColWidth="10" defaultColWidth="10.83203125" defaultRowHeight="15" outlineLevelRow="2" x14ac:dyDescent="0.2"/>
  <cols>
    <col min="1" max="1" width="30.5" style="18" customWidth="1"/>
    <col min="2" max="2" width="26.5" style="18" customWidth="1"/>
    <col min="3" max="3" width="10.83203125" style="18"/>
    <col min="4" max="4" width="16.5" style="18" customWidth="1"/>
    <col min="5" max="5" width="10.5" style="18" customWidth="1"/>
    <col min="6" max="6" width="17.5" style="18" customWidth="1"/>
    <col min="7" max="7" width="14.5" style="18" customWidth="1"/>
    <col min="8" max="8" width="10.5" style="18" customWidth="1"/>
    <col min="9" max="9" width="23.5" style="18" customWidth="1"/>
    <col min="10" max="11" width="14.5" style="18" customWidth="1"/>
    <col min="12" max="12" width="10.83203125" style="18" customWidth="1"/>
    <col min="13" max="13" width="22.5" style="18" customWidth="1"/>
    <col min="14" max="14" width="10.83203125" style="86"/>
    <col min="15" max="16384" width="10.83203125" style="18"/>
  </cols>
  <sheetData>
    <row r="7" spans="1:19" x14ac:dyDescent="0.2">
      <c r="N7" s="18"/>
    </row>
    <row r="8" spans="1:19" ht="23" customHeight="1" thickBot="1" x14ac:dyDescent="0.25">
      <c r="A8" s="54" t="str">
        <f>EV.RIESGO!A8</f>
        <v>ID del proyecto:</v>
      </c>
      <c r="B8" s="193" t="str">
        <f>EV.RIESGO!B8</f>
        <v>com001-pe26 | td029-bf26</v>
      </c>
      <c r="C8" s="194"/>
      <c r="D8" s="195"/>
      <c r="E8" s="55"/>
      <c r="F8" s="56" t="str">
        <f>EV.RIESGO!F8</f>
        <v>Tipo de Cambio:</v>
      </c>
      <c r="G8" s="172" t="str">
        <f>EV.RIESGO!G8</f>
        <v>Normal</v>
      </c>
      <c r="H8" s="172"/>
      <c r="I8" s="58"/>
      <c r="J8" s="181" t="str">
        <f>EV.RIESGO!I8</f>
        <v>Comentarios adicionales.</v>
      </c>
      <c r="K8" s="182"/>
      <c r="L8" s="182"/>
      <c r="M8" s="183"/>
      <c r="N8" s="78"/>
      <c r="O8" s="139" t="s">
        <v>41</v>
      </c>
      <c r="P8" s="140"/>
      <c r="Q8" s="140"/>
      <c r="R8" s="140"/>
      <c r="S8" s="141"/>
    </row>
    <row r="9" spans="1:19" ht="23" customHeight="1" x14ac:dyDescent="0.2">
      <c r="A9" s="54" t="str">
        <f>EV.RIESGO!A9</f>
        <v>Nombre del proyecto</v>
      </c>
      <c r="B9" s="193" t="str">
        <f>EV.RIESGO!B9</f>
        <v>Club Macropay | Compras con Macropesos no descuentan los Macropesos usados a los  clientes</v>
      </c>
      <c r="C9" s="194"/>
      <c r="D9" s="195"/>
      <c r="E9" s="55"/>
      <c r="F9" s="56" t="str">
        <f>EV.RIESGO!F9</f>
        <v>Prioridad:</v>
      </c>
      <c r="G9" s="172" t="str">
        <f>EV.RIESGO!G9</f>
        <v>Alta</v>
      </c>
      <c r="H9" s="172"/>
      <c r="I9" s="58"/>
      <c r="J9" s="184"/>
      <c r="K9" s="185"/>
      <c r="L9" s="185"/>
      <c r="M9" s="186"/>
      <c r="N9" s="79"/>
      <c r="O9" s="142">
        <f>COUNTIF(O35:S59,"Completado")/(COUNTA(O35:S41,O50:S59))</f>
        <v>0</v>
      </c>
      <c r="P9" s="143"/>
      <c r="Q9" s="143"/>
      <c r="R9" s="143"/>
      <c r="S9" s="144"/>
    </row>
    <row r="10" spans="1:19" ht="23" customHeight="1" x14ac:dyDescent="0.2">
      <c r="A10" s="54" t="str">
        <f>EV.RIESGO!A10</f>
        <v>Plataformas impactadas:</v>
      </c>
      <c r="B10" s="193" t="str">
        <f>EV.RIESGO!B10</f>
        <v>PF, POS, APP, Mulesfort, Salesforce, Infobip</v>
      </c>
      <c r="C10" s="194"/>
      <c r="D10" s="195"/>
      <c r="E10" s="59"/>
      <c r="F10" s="56" t="str">
        <f>EV.RIESGO!F10</f>
        <v>Riesgo:</v>
      </c>
      <c r="G10" s="172" t="str">
        <f>EV.RIESGO!G10</f>
        <v>Medio</v>
      </c>
      <c r="H10" s="172"/>
      <c r="I10" s="58"/>
      <c r="J10" s="187"/>
      <c r="K10" s="188"/>
      <c r="L10" s="188"/>
      <c r="M10" s="189"/>
      <c r="N10" s="79"/>
      <c r="O10" s="145"/>
      <c r="P10" s="146"/>
      <c r="Q10" s="146"/>
      <c r="R10" s="146"/>
      <c r="S10" s="147"/>
    </row>
    <row r="11" spans="1:19" ht="23" customHeight="1" x14ac:dyDescent="0.2">
      <c r="A11" s="173" t="str">
        <f>EV.RIESGO!A11</f>
        <v>Líder del Cambio:</v>
      </c>
      <c r="B11" s="60" t="str">
        <f>EV.RIESGO!B11</f>
        <v>Arquitecto</v>
      </c>
      <c r="C11" s="176" t="str">
        <f>EV.RIESGO!C11</f>
        <v>Henry Suárez Hernández/Jonathan Mauricio López</v>
      </c>
      <c r="D11" s="176"/>
      <c r="E11" s="59"/>
      <c r="F11" s="56" t="str">
        <f>EV.RIESGO!F11</f>
        <v>Afecta la operación:</v>
      </c>
      <c r="G11" s="172" t="str">
        <f>EV.RIESGO!G11</f>
        <v>Si</v>
      </c>
      <c r="H11" s="172"/>
      <c r="I11" s="58"/>
      <c r="J11" s="187"/>
      <c r="K11" s="188"/>
      <c r="L11" s="188"/>
      <c r="M11" s="189"/>
      <c r="N11" s="79"/>
      <c r="O11" s="145"/>
      <c r="P11" s="146"/>
      <c r="Q11" s="146"/>
      <c r="R11" s="146"/>
      <c r="S11" s="147"/>
    </row>
    <row r="12" spans="1:19" ht="23" customHeight="1" x14ac:dyDescent="0.2">
      <c r="A12" s="174"/>
      <c r="B12" s="60" t="str">
        <f>EV.RIESGO!B12</f>
        <v>Project Manager</v>
      </c>
      <c r="C12" s="176" t="str">
        <f>EV.RIESGO!C12</f>
        <v>Maria Alicia Moguel | Ivan Torres</v>
      </c>
      <c r="D12" s="176"/>
      <c r="E12" s="59"/>
      <c r="F12" s="61"/>
      <c r="G12" s="62"/>
      <c r="H12" s="62"/>
      <c r="I12" s="25"/>
      <c r="J12" s="187"/>
      <c r="K12" s="188"/>
      <c r="L12" s="188"/>
      <c r="M12" s="189"/>
      <c r="N12" s="79"/>
      <c r="O12" s="145"/>
      <c r="P12" s="146"/>
      <c r="Q12" s="146"/>
      <c r="R12" s="146"/>
      <c r="S12" s="147"/>
    </row>
    <row r="13" spans="1:19" ht="23" customHeight="1" x14ac:dyDescent="0.2">
      <c r="A13" s="174"/>
      <c r="B13" s="60" t="str">
        <f>EV.RIESGO!B13</f>
        <v xml:space="preserve">Líder de Célula </v>
      </c>
      <c r="C13" s="176" t="str">
        <f>EV.RIESGO!C13</f>
        <v>Pablo Genaro Sanchez</v>
      </c>
      <c r="D13" s="176"/>
      <c r="E13" s="59"/>
      <c r="F13" s="61"/>
      <c r="G13" s="196"/>
      <c r="H13" s="196"/>
      <c r="I13" s="25"/>
      <c r="J13" s="190"/>
      <c r="K13" s="191"/>
      <c r="L13" s="191"/>
      <c r="M13" s="192"/>
      <c r="N13" s="79"/>
      <c r="O13" s="148"/>
      <c r="P13" s="149"/>
      <c r="Q13" s="149"/>
      <c r="R13" s="149"/>
      <c r="S13" s="150"/>
    </row>
    <row r="14" spans="1:19" ht="23" customHeight="1" x14ac:dyDescent="0.2">
      <c r="A14" s="175"/>
      <c r="B14" s="60" t="str">
        <f>EV.RIESGO!B14</f>
        <v xml:space="preserve">Líder Técnico </v>
      </c>
      <c r="C14" s="176" t="str">
        <f>EV.RIESGO!C14</f>
        <v>Pablo Genaro Sanchez</v>
      </c>
      <c r="D14" s="176"/>
      <c r="E14" s="59"/>
      <c r="F14" s="61"/>
      <c r="G14" s="62"/>
      <c r="H14" s="62"/>
      <c r="I14" s="25"/>
      <c r="J14" s="25"/>
      <c r="K14" s="25"/>
      <c r="L14" s="25"/>
      <c r="M14" s="25"/>
      <c r="N14" s="19"/>
      <c r="O14" s="46"/>
      <c r="P14" s="46"/>
      <c r="Q14" s="46"/>
      <c r="R14" s="46"/>
      <c r="S14" s="46"/>
    </row>
    <row r="15" spans="1:19" ht="23" customHeight="1" x14ac:dyDescent="0.2">
      <c r="A15" s="54" t="str">
        <f>EV.RIESGO!A15</f>
        <v>Ambiente:</v>
      </c>
      <c r="B15" s="172" t="str">
        <f>EV.RIESGO!B15</f>
        <v>PROD</v>
      </c>
      <c r="C15" s="172"/>
      <c r="D15" s="172"/>
      <c r="E15" s="59"/>
      <c r="F15" s="61"/>
      <c r="G15" s="62"/>
      <c r="H15" s="62"/>
      <c r="I15" s="25"/>
      <c r="J15" s="25"/>
      <c r="K15" s="25"/>
      <c r="L15" s="25"/>
      <c r="M15" s="25"/>
      <c r="N15" s="20"/>
      <c r="O15" s="46"/>
      <c r="P15" s="46"/>
      <c r="Q15" s="46"/>
      <c r="R15" s="46"/>
      <c r="S15" s="46"/>
    </row>
    <row r="16" spans="1:19" x14ac:dyDescent="0.2">
      <c r="A16" s="23"/>
      <c r="B16" s="23"/>
      <c r="C16" s="23"/>
      <c r="D16" s="23"/>
      <c r="E16" s="23"/>
      <c r="F16" s="23"/>
      <c r="G16" s="23"/>
      <c r="H16" s="23"/>
      <c r="I16" s="23"/>
      <c r="J16" s="23"/>
      <c r="K16" s="23"/>
      <c r="L16" s="23"/>
      <c r="M16" s="23"/>
      <c r="N16" s="18"/>
    </row>
    <row r="17" spans="1:14" outlineLevel="1" x14ac:dyDescent="0.2">
      <c r="A17" s="177" t="s">
        <v>42</v>
      </c>
      <c r="B17" s="178"/>
      <c r="C17" s="178"/>
      <c r="D17" s="178"/>
      <c r="E17" s="178"/>
      <c r="F17" s="178"/>
      <c r="G17" s="178"/>
      <c r="H17" s="178"/>
      <c r="I17" s="178"/>
      <c r="J17" s="178"/>
      <c r="K17" s="178"/>
      <c r="L17" s="178"/>
      <c r="M17" s="178"/>
      <c r="N17" s="18"/>
    </row>
    <row r="18" spans="1:14" ht="8" customHeight="1" outlineLevel="1" x14ac:dyDescent="0.2">
      <c r="A18" s="23"/>
      <c r="B18" s="23"/>
      <c r="C18" s="23"/>
      <c r="D18" s="23"/>
      <c r="E18" s="23"/>
      <c r="F18" s="23"/>
      <c r="G18" s="23"/>
      <c r="H18" s="23"/>
      <c r="I18" s="23"/>
      <c r="J18" s="23"/>
      <c r="K18" s="23"/>
      <c r="L18" s="23"/>
      <c r="M18" s="23"/>
      <c r="N18" s="18"/>
    </row>
    <row r="19" spans="1:14" outlineLevel="1" x14ac:dyDescent="0.2">
      <c r="A19" s="23"/>
      <c r="B19" s="179" t="s">
        <v>43</v>
      </c>
      <c r="C19" s="179"/>
      <c r="D19" s="179"/>
      <c r="E19" s="87" t="s">
        <v>44</v>
      </c>
      <c r="F19" s="180" t="s">
        <v>45</v>
      </c>
      <c r="G19" s="180"/>
      <c r="H19" s="180" t="s">
        <v>46</v>
      </c>
      <c r="I19" s="180"/>
      <c r="J19" s="180"/>
      <c r="K19" s="23"/>
      <c r="L19" s="23"/>
      <c r="M19" s="23"/>
      <c r="N19" s="18"/>
    </row>
    <row r="20" spans="1:14" ht="23" customHeight="1" outlineLevel="1" x14ac:dyDescent="0.2">
      <c r="A20" s="23"/>
      <c r="B20" s="172" t="s">
        <v>48</v>
      </c>
      <c r="C20" s="172"/>
      <c r="D20" s="172"/>
      <c r="E20" s="57" t="s">
        <v>49</v>
      </c>
      <c r="F20" s="166" t="str">
        <f>RFC!F21</f>
        <v>Selecciona</v>
      </c>
      <c r="G20" s="167"/>
      <c r="H20" s="166">
        <f>RFC!H21</f>
        <v>0</v>
      </c>
      <c r="I20" s="168"/>
      <c r="J20" s="167"/>
      <c r="K20" s="23"/>
      <c r="L20" s="23"/>
      <c r="M20" s="23"/>
      <c r="N20" s="18"/>
    </row>
    <row r="21" spans="1:14" ht="23" customHeight="1" outlineLevel="1" x14ac:dyDescent="0.2">
      <c r="A21" s="23"/>
      <c r="B21" s="172" t="s">
        <v>50</v>
      </c>
      <c r="C21" s="172"/>
      <c r="D21" s="172"/>
      <c r="E21" s="57" t="s">
        <v>51</v>
      </c>
      <c r="F21" s="166" t="str">
        <f>RFC!F22</f>
        <v>Pablo Genaro Sanchez</v>
      </c>
      <c r="G21" s="167"/>
      <c r="H21" s="166">
        <f>RFC!H22</f>
        <v>0</v>
      </c>
      <c r="I21" s="168"/>
      <c r="J21" s="167"/>
      <c r="K21" s="23"/>
      <c r="L21" s="23"/>
      <c r="M21" s="23"/>
      <c r="N21" s="18"/>
    </row>
    <row r="22" spans="1:14" ht="23" customHeight="1" outlineLevel="1" x14ac:dyDescent="0.2">
      <c r="A22" s="23"/>
      <c r="B22" s="172" t="s">
        <v>52</v>
      </c>
      <c r="C22" s="172"/>
      <c r="D22" s="172"/>
      <c r="E22" s="57" t="s">
        <v>53</v>
      </c>
      <c r="F22" s="166" t="str">
        <f>RFC!F23</f>
        <v>Selecciona</v>
      </c>
      <c r="G22" s="167"/>
      <c r="H22" s="166">
        <f>RFC!H23</f>
        <v>0</v>
      </c>
      <c r="I22" s="168"/>
      <c r="J22" s="167"/>
      <c r="K22" s="23"/>
      <c r="L22" s="23"/>
      <c r="M22" s="23"/>
      <c r="N22" s="18"/>
    </row>
    <row r="23" spans="1:14" ht="23" customHeight="1" outlineLevel="1" x14ac:dyDescent="0.2">
      <c r="A23" s="23"/>
      <c r="B23" s="172" t="s">
        <v>54</v>
      </c>
      <c r="C23" s="172"/>
      <c r="D23" s="172"/>
      <c r="E23" s="57" t="s">
        <v>55</v>
      </c>
      <c r="F23" s="166" t="str">
        <f>RFC!F24</f>
        <v>Pablo Genaro Sanchez</v>
      </c>
      <c r="G23" s="167"/>
      <c r="H23" s="166">
        <f>RFC!H24</f>
        <v>0</v>
      </c>
      <c r="I23" s="168"/>
      <c r="J23" s="167"/>
      <c r="K23" s="23"/>
      <c r="L23" s="23"/>
      <c r="M23" s="23"/>
      <c r="N23" s="18"/>
    </row>
    <row r="24" spans="1:14" ht="23" customHeight="1" outlineLevel="1" x14ac:dyDescent="0.2">
      <c r="A24" s="23"/>
      <c r="B24" s="172" t="s">
        <v>56</v>
      </c>
      <c r="C24" s="172"/>
      <c r="D24" s="172"/>
      <c r="E24" s="57" t="s">
        <v>56</v>
      </c>
      <c r="F24" s="166" t="str">
        <f>RFC!F25</f>
        <v>Martin de la Cruz Bartolo</v>
      </c>
      <c r="G24" s="167"/>
      <c r="H24" s="166">
        <f>RFC!H25</f>
        <v>0</v>
      </c>
      <c r="I24" s="168"/>
      <c r="J24" s="167"/>
      <c r="K24" s="23"/>
      <c r="L24" s="23"/>
      <c r="M24" s="23"/>
      <c r="N24" s="18"/>
    </row>
    <row r="25" spans="1:14" ht="23" customHeight="1" outlineLevel="1" x14ac:dyDescent="0.2">
      <c r="A25" s="23"/>
      <c r="B25" s="172" t="s">
        <v>58</v>
      </c>
      <c r="C25" s="172"/>
      <c r="D25" s="172"/>
      <c r="E25" s="57" t="s">
        <v>59</v>
      </c>
      <c r="F25" s="166" t="str">
        <f>RFC!F26</f>
        <v>Selecciona</v>
      </c>
      <c r="G25" s="167"/>
      <c r="H25" s="166">
        <f>RFC!H26</f>
        <v>0</v>
      </c>
      <c r="I25" s="168"/>
      <c r="J25" s="167"/>
      <c r="K25" s="23"/>
      <c r="L25" s="23"/>
      <c r="M25" s="23"/>
      <c r="N25" s="18"/>
    </row>
    <row r="26" spans="1:14" ht="23" customHeight="1" outlineLevel="1" x14ac:dyDescent="0.2">
      <c r="A26" s="23"/>
      <c r="B26" s="172" t="s">
        <v>60</v>
      </c>
      <c r="C26" s="172"/>
      <c r="D26" s="172"/>
      <c r="E26" s="57" t="s">
        <v>61</v>
      </c>
      <c r="F26" s="166" t="str">
        <f>RFC!F27</f>
        <v>Selecciona</v>
      </c>
      <c r="G26" s="167"/>
      <c r="H26" s="166">
        <f>RFC!H27</f>
        <v>0</v>
      </c>
      <c r="I26" s="168"/>
      <c r="J26" s="167"/>
      <c r="K26" s="23"/>
      <c r="L26" s="23"/>
      <c r="M26" s="23"/>
      <c r="N26" s="18"/>
    </row>
    <row r="27" spans="1:14" ht="23" customHeight="1" outlineLevel="1" x14ac:dyDescent="0.2">
      <c r="A27" s="23"/>
      <c r="B27" s="172" t="s">
        <v>62</v>
      </c>
      <c r="C27" s="172"/>
      <c r="D27" s="172"/>
      <c r="E27" s="57" t="s">
        <v>63</v>
      </c>
      <c r="F27" s="166">
        <f>RFC!F28</f>
        <v>0</v>
      </c>
      <c r="G27" s="167"/>
      <c r="H27" s="166">
        <f>RFC!H28</f>
        <v>0</v>
      </c>
      <c r="I27" s="168"/>
      <c r="J27" s="167"/>
      <c r="K27" s="23"/>
      <c r="L27" s="23"/>
      <c r="M27" s="23"/>
      <c r="N27" s="18"/>
    </row>
    <row r="28" spans="1:14" ht="23" customHeight="1" outlineLevel="1" x14ac:dyDescent="0.2">
      <c r="A28" s="23"/>
      <c r="B28" s="172" t="s">
        <v>64</v>
      </c>
      <c r="C28" s="172"/>
      <c r="D28" s="172"/>
      <c r="E28" s="57" t="s">
        <v>65</v>
      </c>
      <c r="F28" s="166">
        <f>RFC!F29</f>
        <v>0</v>
      </c>
      <c r="G28" s="167"/>
      <c r="H28" s="166">
        <f>RFC!H29</f>
        <v>0</v>
      </c>
      <c r="I28" s="168"/>
      <c r="J28" s="167"/>
      <c r="K28" s="23"/>
      <c r="L28" s="23"/>
      <c r="M28" s="23"/>
      <c r="N28" s="18"/>
    </row>
    <row r="29" spans="1:14" ht="23" customHeight="1" outlineLevel="1" x14ac:dyDescent="0.2">
      <c r="A29" s="23"/>
      <c r="B29" s="172" t="s">
        <v>66</v>
      </c>
      <c r="C29" s="172"/>
      <c r="D29" s="172"/>
      <c r="E29" s="57" t="s">
        <v>66</v>
      </c>
      <c r="F29" s="166">
        <f>RFC!F30</f>
        <v>0</v>
      </c>
      <c r="G29" s="167"/>
      <c r="H29" s="166">
        <f>RFC!H30</f>
        <v>0</v>
      </c>
      <c r="I29" s="168"/>
      <c r="J29" s="167"/>
      <c r="K29" s="23"/>
      <c r="L29" s="23"/>
      <c r="M29" s="23"/>
      <c r="N29" s="18"/>
    </row>
    <row r="30" spans="1:14" ht="23" customHeight="1" outlineLevel="1" x14ac:dyDescent="0.2">
      <c r="A30" s="23"/>
      <c r="B30" s="172"/>
      <c r="C30" s="172"/>
      <c r="D30" s="172"/>
      <c r="E30" s="57"/>
      <c r="F30" s="166">
        <f>RFC!F31</f>
        <v>0</v>
      </c>
      <c r="G30" s="167"/>
      <c r="H30" s="166">
        <f>RFC!H21</f>
        <v>0</v>
      </c>
      <c r="I30" s="168"/>
      <c r="J30" s="167"/>
      <c r="K30" s="23"/>
      <c r="L30" s="23"/>
      <c r="M30" s="23"/>
      <c r="N30" s="18"/>
    </row>
    <row r="31" spans="1:14" ht="15" customHeight="1" x14ac:dyDescent="0.2">
      <c r="A31" s="23"/>
      <c r="B31" s="23"/>
      <c r="C31" s="23"/>
      <c r="D31" s="23"/>
      <c r="E31" s="23"/>
      <c r="F31" s="23"/>
      <c r="G31" s="23"/>
      <c r="H31" s="23"/>
      <c r="I31" s="23"/>
      <c r="J31" s="23"/>
      <c r="K31" s="23"/>
      <c r="L31" s="23"/>
      <c r="M31" s="23"/>
      <c r="N31" s="80"/>
    </row>
    <row r="32" spans="1:14" x14ac:dyDescent="0.2">
      <c r="A32" s="152" t="s">
        <v>208</v>
      </c>
      <c r="B32" s="153"/>
      <c r="C32" s="153"/>
      <c r="D32" s="153"/>
      <c r="E32" s="153"/>
      <c r="F32" s="153"/>
      <c r="G32" s="153"/>
      <c r="H32" s="153"/>
      <c r="I32" s="153"/>
      <c r="J32" s="153"/>
      <c r="K32" s="153"/>
      <c r="L32" s="153"/>
      <c r="M32" s="153"/>
      <c r="N32" s="81"/>
    </row>
    <row r="33" spans="1:19" ht="8" customHeight="1" x14ac:dyDescent="0.2">
      <c r="N33" s="18"/>
    </row>
    <row r="34" spans="1:19" s="20" customFormat="1" ht="30.5" customHeight="1" outlineLevel="2" x14ac:dyDescent="0.2">
      <c r="A34" s="47" t="s">
        <v>68</v>
      </c>
      <c r="B34" s="154" t="s">
        <v>69</v>
      </c>
      <c r="C34" s="155"/>
      <c r="D34" s="155"/>
      <c r="E34" s="155"/>
      <c r="F34" s="156"/>
      <c r="G34" s="154" t="s">
        <v>70</v>
      </c>
      <c r="H34" s="156"/>
      <c r="I34" s="48" t="s">
        <v>71</v>
      </c>
      <c r="J34" s="47" t="s">
        <v>44</v>
      </c>
      <c r="K34" s="49" t="s">
        <v>72</v>
      </c>
      <c r="L34" s="154" t="s">
        <v>74</v>
      </c>
      <c r="M34" s="155"/>
      <c r="N34" s="42"/>
      <c r="O34" s="151" t="s">
        <v>75</v>
      </c>
      <c r="P34" s="151"/>
      <c r="Q34" s="151"/>
      <c r="R34" s="151"/>
      <c r="S34" s="151"/>
    </row>
    <row r="35" spans="1:19" s="53" customFormat="1" ht="57" customHeight="1" outlineLevel="2" x14ac:dyDescent="0.2">
      <c r="A35" s="68">
        <v>1</v>
      </c>
      <c r="B35" s="169" t="s">
        <v>209</v>
      </c>
      <c r="C35" s="170"/>
      <c r="D35" s="170"/>
      <c r="E35" s="170"/>
      <c r="F35" s="171"/>
      <c r="G35" s="126" t="s">
        <v>210</v>
      </c>
      <c r="H35" s="127"/>
      <c r="I35" s="97" t="s">
        <v>78</v>
      </c>
      <c r="J35" s="95" t="s">
        <v>56</v>
      </c>
      <c r="K35" s="76"/>
      <c r="L35" s="121"/>
      <c r="M35" s="121"/>
      <c r="N35" s="82"/>
      <c r="O35" s="122" t="s">
        <v>79</v>
      </c>
      <c r="P35" s="122"/>
      <c r="Q35" s="122"/>
      <c r="R35" s="122"/>
      <c r="S35" s="122"/>
    </row>
    <row r="36" spans="1:19" s="53" customFormat="1" ht="50" customHeight="1" outlineLevel="2" x14ac:dyDescent="0.2">
      <c r="A36" s="50">
        <v>3</v>
      </c>
      <c r="B36" s="123" t="s">
        <v>211</v>
      </c>
      <c r="C36" s="124"/>
      <c r="D36" s="124"/>
      <c r="E36" s="124"/>
      <c r="F36" s="125"/>
      <c r="G36" s="126" t="s">
        <v>212</v>
      </c>
      <c r="H36" s="127"/>
      <c r="I36" s="97" t="s">
        <v>78</v>
      </c>
      <c r="J36" s="99" t="s">
        <v>56</v>
      </c>
      <c r="K36" s="76"/>
      <c r="L36" s="128"/>
      <c r="M36" s="128"/>
      <c r="N36" s="82"/>
      <c r="O36" s="122" t="s">
        <v>79</v>
      </c>
      <c r="P36" s="122"/>
      <c r="Q36" s="122"/>
      <c r="R36" s="122"/>
      <c r="S36" s="122"/>
    </row>
    <row r="37" spans="1:19" s="53" customFormat="1" ht="50" customHeight="1" outlineLevel="2" x14ac:dyDescent="0.2">
      <c r="A37" s="50">
        <v>4</v>
      </c>
      <c r="B37" s="123" t="s">
        <v>213</v>
      </c>
      <c r="C37" s="124"/>
      <c r="D37" s="124"/>
      <c r="E37" s="124"/>
      <c r="F37" s="125"/>
      <c r="G37" s="126" t="s">
        <v>214</v>
      </c>
      <c r="H37" s="127"/>
      <c r="I37" s="97" t="s">
        <v>78</v>
      </c>
      <c r="J37" s="99" t="s">
        <v>56</v>
      </c>
      <c r="K37" s="76"/>
      <c r="L37" s="128"/>
      <c r="M37" s="128"/>
      <c r="N37" s="82"/>
      <c r="O37" s="122" t="s">
        <v>79</v>
      </c>
      <c r="P37" s="122"/>
      <c r="Q37" s="122"/>
      <c r="R37" s="122"/>
      <c r="S37" s="122"/>
    </row>
    <row r="38" spans="1:19" s="53" customFormat="1" ht="50" customHeight="1" outlineLevel="2" x14ac:dyDescent="0.2">
      <c r="A38" s="50">
        <v>5</v>
      </c>
      <c r="B38" s="123" t="s">
        <v>215</v>
      </c>
      <c r="C38" s="129"/>
      <c r="D38" s="129"/>
      <c r="E38" s="129"/>
      <c r="F38" s="130"/>
      <c r="G38" s="131" t="s">
        <v>77</v>
      </c>
      <c r="H38" s="131"/>
      <c r="I38" s="97" t="s">
        <v>78</v>
      </c>
      <c r="J38" s="96" t="s">
        <v>49</v>
      </c>
      <c r="K38" s="76"/>
      <c r="L38" s="121"/>
      <c r="M38" s="121"/>
      <c r="N38" s="82"/>
      <c r="O38" s="122" t="s">
        <v>79</v>
      </c>
      <c r="P38" s="122"/>
      <c r="Q38" s="122"/>
      <c r="R38" s="122"/>
      <c r="S38" s="122"/>
    </row>
    <row r="39" spans="1:19" s="53" customFormat="1" ht="50" customHeight="1" outlineLevel="2" x14ac:dyDescent="0.2">
      <c r="A39" s="50">
        <v>6</v>
      </c>
      <c r="B39" s="123" t="s">
        <v>216</v>
      </c>
      <c r="C39" s="129"/>
      <c r="D39" s="129"/>
      <c r="E39" s="129"/>
      <c r="F39" s="130"/>
      <c r="G39" s="131" t="s">
        <v>77</v>
      </c>
      <c r="H39" s="131"/>
      <c r="I39" s="97" t="s">
        <v>78</v>
      </c>
      <c r="J39" s="96" t="s">
        <v>49</v>
      </c>
      <c r="K39" s="76"/>
      <c r="L39" s="121"/>
      <c r="M39" s="121"/>
      <c r="N39" s="82"/>
      <c r="O39" s="122" t="s">
        <v>79</v>
      </c>
      <c r="P39" s="122"/>
      <c r="Q39" s="122"/>
      <c r="R39" s="122"/>
      <c r="S39" s="122"/>
    </row>
    <row r="40" spans="1:19" s="53" customFormat="1" ht="50" customHeight="1" outlineLevel="2" x14ac:dyDescent="0.2">
      <c r="A40" s="50">
        <v>7</v>
      </c>
      <c r="B40" s="123" t="s">
        <v>217</v>
      </c>
      <c r="C40" s="129"/>
      <c r="D40" s="129"/>
      <c r="E40" s="129"/>
      <c r="F40" s="130"/>
      <c r="G40" s="131" t="s">
        <v>77</v>
      </c>
      <c r="H40" s="131"/>
      <c r="I40" s="97" t="s">
        <v>78</v>
      </c>
      <c r="J40" s="96" t="s">
        <v>49</v>
      </c>
      <c r="K40" s="76"/>
      <c r="L40" s="121"/>
      <c r="M40" s="121"/>
      <c r="N40" s="82"/>
      <c r="O40" s="122" t="s">
        <v>79</v>
      </c>
      <c r="P40" s="122"/>
      <c r="Q40" s="122"/>
      <c r="R40" s="122"/>
      <c r="S40" s="122"/>
    </row>
    <row r="41" spans="1:19" s="53" customFormat="1" ht="69" customHeight="1" outlineLevel="2" x14ac:dyDescent="0.2">
      <c r="A41" s="50">
        <v>8</v>
      </c>
      <c r="B41" s="123" t="s">
        <v>218</v>
      </c>
      <c r="C41" s="129"/>
      <c r="D41" s="129"/>
      <c r="E41" s="129"/>
      <c r="F41" s="130"/>
      <c r="G41" s="131" t="s">
        <v>77</v>
      </c>
      <c r="H41" s="131"/>
      <c r="I41" s="97" t="s">
        <v>78</v>
      </c>
      <c r="J41" s="96" t="s">
        <v>49</v>
      </c>
      <c r="K41" s="76"/>
      <c r="L41" s="121"/>
      <c r="M41" s="121"/>
      <c r="N41" s="82"/>
      <c r="O41" s="122" t="s">
        <v>79</v>
      </c>
      <c r="P41" s="122"/>
      <c r="Q41" s="122"/>
      <c r="R41" s="122"/>
      <c r="S41" s="122"/>
    </row>
    <row r="42" spans="1:19" s="53" customFormat="1" ht="50" customHeight="1" outlineLevel="2" x14ac:dyDescent="0.2">
      <c r="A42" s="50">
        <v>9</v>
      </c>
      <c r="B42" s="160"/>
      <c r="C42" s="160"/>
      <c r="D42" s="160"/>
      <c r="E42" s="160"/>
      <c r="F42" s="160"/>
      <c r="G42" s="161"/>
      <c r="H42" s="161"/>
      <c r="I42" s="77"/>
      <c r="J42" s="96" t="s">
        <v>47</v>
      </c>
      <c r="K42" s="76"/>
      <c r="L42" s="121"/>
      <c r="M42" s="121"/>
      <c r="O42" s="122" t="s">
        <v>79</v>
      </c>
      <c r="P42" s="122"/>
      <c r="Q42" s="122"/>
      <c r="R42" s="122"/>
      <c r="S42" s="122"/>
    </row>
    <row r="43" spans="1:19" s="53" customFormat="1" ht="50" customHeight="1" outlineLevel="2" x14ac:dyDescent="0.2">
      <c r="A43" s="50">
        <v>10</v>
      </c>
      <c r="B43" s="160"/>
      <c r="C43" s="160"/>
      <c r="D43" s="160"/>
      <c r="E43" s="160"/>
      <c r="F43" s="160"/>
      <c r="G43" s="161"/>
      <c r="H43" s="161"/>
      <c r="I43" s="77"/>
      <c r="J43" s="96" t="s">
        <v>47</v>
      </c>
      <c r="K43" s="76"/>
      <c r="L43" s="121"/>
      <c r="M43" s="121"/>
      <c r="O43" s="122" t="s">
        <v>79</v>
      </c>
      <c r="P43" s="122"/>
      <c r="Q43" s="122"/>
      <c r="R43" s="122"/>
      <c r="S43" s="122"/>
    </row>
    <row r="44" spans="1:19" s="53" customFormat="1" ht="50" customHeight="1" outlineLevel="2" x14ac:dyDescent="0.2">
      <c r="A44" s="50">
        <v>11</v>
      </c>
      <c r="B44" s="160"/>
      <c r="C44" s="160"/>
      <c r="D44" s="160"/>
      <c r="E44" s="160"/>
      <c r="F44" s="160"/>
      <c r="G44" s="161"/>
      <c r="H44" s="161"/>
      <c r="I44" s="77"/>
      <c r="J44" s="96" t="s">
        <v>47</v>
      </c>
      <c r="K44" s="76"/>
      <c r="L44" s="121"/>
      <c r="M44" s="121"/>
      <c r="O44" s="122" t="s">
        <v>79</v>
      </c>
      <c r="P44" s="122"/>
      <c r="Q44" s="122"/>
      <c r="R44" s="122"/>
      <c r="S44" s="122"/>
    </row>
    <row r="45" spans="1:19" s="53" customFormat="1" ht="50" customHeight="1" outlineLevel="2" x14ac:dyDescent="0.2">
      <c r="A45" s="50">
        <v>12</v>
      </c>
      <c r="B45" s="163"/>
      <c r="C45" s="164"/>
      <c r="D45" s="164"/>
      <c r="E45" s="164"/>
      <c r="F45" s="165"/>
      <c r="G45" s="161"/>
      <c r="H45" s="161"/>
      <c r="I45" s="77"/>
      <c r="J45" s="96" t="s">
        <v>47</v>
      </c>
      <c r="K45" s="76"/>
      <c r="L45" s="121"/>
      <c r="M45" s="121"/>
      <c r="O45" s="122" t="s">
        <v>79</v>
      </c>
      <c r="P45" s="122"/>
      <c r="Q45" s="122"/>
      <c r="R45" s="122"/>
      <c r="S45" s="122"/>
    </row>
    <row r="46" spans="1:19" ht="30.5" customHeight="1" outlineLevel="2" x14ac:dyDescent="0.2">
      <c r="A46" s="52"/>
      <c r="L46" s="162"/>
      <c r="M46" s="162"/>
      <c r="N46" s="18"/>
    </row>
    <row r="47" spans="1:19" ht="16.25" customHeight="1" x14ac:dyDescent="0.2">
      <c r="A47" s="152" t="s">
        <v>205</v>
      </c>
      <c r="B47" s="153"/>
      <c r="C47" s="153"/>
      <c r="D47" s="153"/>
      <c r="E47" s="153"/>
      <c r="F47" s="153"/>
      <c r="G47" s="153"/>
      <c r="H47" s="153"/>
      <c r="I47" s="153"/>
      <c r="J47" s="153"/>
      <c r="K47" s="153"/>
      <c r="L47" s="153"/>
      <c r="M47" s="153"/>
      <c r="N47" s="18"/>
    </row>
    <row r="48" spans="1:19" ht="17" customHeight="1" x14ac:dyDescent="0.2">
      <c r="N48" s="18"/>
    </row>
    <row r="49" spans="1:19" s="19" customFormat="1" ht="30.5" customHeight="1" x14ac:dyDescent="0.2">
      <c r="A49" s="47" t="s">
        <v>131</v>
      </c>
      <c r="B49" s="157" t="s">
        <v>132</v>
      </c>
      <c r="C49" s="158"/>
      <c r="D49" s="158"/>
      <c r="E49" s="158"/>
      <c r="F49" s="158"/>
      <c r="G49" s="158"/>
      <c r="H49" s="159"/>
      <c r="I49" s="48"/>
      <c r="J49" s="47" t="s">
        <v>44</v>
      </c>
      <c r="K49" s="49" t="s">
        <v>72</v>
      </c>
      <c r="L49" s="154" t="s">
        <v>74</v>
      </c>
      <c r="M49" s="155"/>
      <c r="N49" s="83"/>
      <c r="O49" s="135" t="s">
        <v>75</v>
      </c>
      <c r="P49" s="136"/>
      <c r="Q49" s="136"/>
      <c r="R49" s="136"/>
      <c r="S49" s="137"/>
    </row>
    <row r="50" spans="1:19" s="53" customFormat="1" ht="50" customHeight="1" x14ac:dyDescent="0.2">
      <c r="A50" s="50">
        <v>1</v>
      </c>
      <c r="B50" s="132"/>
      <c r="C50" s="133"/>
      <c r="D50" s="133"/>
      <c r="E50" s="133"/>
      <c r="F50" s="133"/>
      <c r="G50" s="133"/>
      <c r="H50" s="134"/>
      <c r="I50" s="84"/>
      <c r="J50" s="51" t="s">
        <v>47</v>
      </c>
      <c r="K50" s="85"/>
      <c r="L50" s="138"/>
      <c r="M50" s="138"/>
      <c r="N50" s="82"/>
      <c r="O50" s="122" t="s">
        <v>79</v>
      </c>
      <c r="P50" s="122"/>
      <c r="Q50" s="122"/>
      <c r="R50" s="122"/>
      <c r="S50" s="122"/>
    </row>
    <row r="51" spans="1:19" s="53" customFormat="1" ht="50" customHeight="1" x14ac:dyDescent="0.2">
      <c r="A51" s="50">
        <v>2</v>
      </c>
      <c r="B51" s="132"/>
      <c r="C51" s="133"/>
      <c r="D51" s="133"/>
      <c r="E51" s="133"/>
      <c r="F51" s="133"/>
      <c r="G51" s="133"/>
      <c r="H51" s="134"/>
      <c r="I51" s="84"/>
      <c r="J51" s="51" t="s">
        <v>47</v>
      </c>
      <c r="K51" s="85"/>
      <c r="L51" s="138"/>
      <c r="M51" s="138"/>
      <c r="N51" s="82"/>
      <c r="O51" s="122" t="s">
        <v>79</v>
      </c>
      <c r="P51" s="122"/>
      <c r="Q51" s="122"/>
      <c r="R51" s="122"/>
      <c r="S51" s="122"/>
    </row>
    <row r="52" spans="1:19" s="53" customFormat="1" ht="50" customHeight="1" x14ac:dyDescent="0.2">
      <c r="A52" s="50">
        <v>3</v>
      </c>
      <c r="B52" s="132"/>
      <c r="C52" s="133"/>
      <c r="D52" s="133"/>
      <c r="E52" s="133"/>
      <c r="F52" s="133"/>
      <c r="G52" s="133"/>
      <c r="H52" s="134"/>
      <c r="I52" s="84"/>
      <c r="J52" s="51" t="s">
        <v>47</v>
      </c>
      <c r="K52" s="85"/>
      <c r="L52" s="138"/>
      <c r="M52" s="138"/>
      <c r="N52" s="82"/>
      <c r="O52" s="122" t="s">
        <v>79</v>
      </c>
      <c r="P52" s="122"/>
      <c r="Q52" s="122"/>
      <c r="R52" s="122"/>
      <c r="S52" s="122"/>
    </row>
    <row r="53" spans="1:19" s="53" customFormat="1" ht="50" customHeight="1" x14ac:dyDescent="0.2">
      <c r="A53" s="50">
        <v>4</v>
      </c>
      <c r="B53" s="132"/>
      <c r="C53" s="133"/>
      <c r="D53" s="133"/>
      <c r="E53" s="133"/>
      <c r="F53" s="133"/>
      <c r="G53" s="133"/>
      <c r="H53" s="134"/>
      <c r="I53" s="84"/>
      <c r="J53" s="51" t="s">
        <v>47</v>
      </c>
      <c r="K53" s="85"/>
      <c r="L53" s="138"/>
      <c r="M53" s="138"/>
      <c r="N53" s="82"/>
      <c r="O53" s="122" t="s">
        <v>79</v>
      </c>
      <c r="P53" s="122"/>
      <c r="Q53" s="122"/>
      <c r="R53" s="122"/>
      <c r="S53" s="122"/>
    </row>
    <row r="54" spans="1:19" s="53" customFormat="1" ht="50" customHeight="1" x14ac:dyDescent="0.2">
      <c r="A54" s="50">
        <v>5</v>
      </c>
      <c r="B54" s="132"/>
      <c r="C54" s="133"/>
      <c r="D54" s="133"/>
      <c r="E54" s="133"/>
      <c r="F54" s="133"/>
      <c r="G54" s="133"/>
      <c r="H54" s="134"/>
      <c r="I54" s="84"/>
      <c r="J54" s="51" t="s">
        <v>47</v>
      </c>
      <c r="K54" s="85"/>
      <c r="L54" s="138"/>
      <c r="M54" s="138"/>
      <c r="N54" s="82"/>
      <c r="O54" s="122" t="s">
        <v>79</v>
      </c>
      <c r="P54" s="122"/>
      <c r="Q54" s="122"/>
      <c r="R54" s="122"/>
      <c r="S54" s="122"/>
    </row>
    <row r="55" spans="1:19" s="53" customFormat="1" ht="50" customHeight="1" x14ac:dyDescent="0.2">
      <c r="A55" s="50">
        <v>6</v>
      </c>
      <c r="B55" s="132"/>
      <c r="C55" s="133"/>
      <c r="D55" s="133"/>
      <c r="E55" s="133"/>
      <c r="F55" s="133"/>
      <c r="G55" s="133"/>
      <c r="H55" s="134"/>
      <c r="I55" s="84"/>
      <c r="J55" s="51" t="s">
        <v>47</v>
      </c>
      <c r="K55" s="85"/>
      <c r="L55" s="138"/>
      <c r="M55" s="138"/>
      <c r="N55" s="82"/>
      <c r="O55" s="122" t="s">
        <v>79</v>
      </c>
      <c r="P55" s="122"/>
      <c r="Q55" s="122"/>
      <c r="R55" s="122"/>
      <c r="S55" s="122"/>
    </row>
    <row r="56" spans="1:19" s="53" customFormat="1" ht="50" customHeight="1" x14ac:dyDescent="0.2">
      <c r="A56" s="50">
        <v>7</v>
      </c>
      <c r="B56" s="132"/>
      <c r="C56" s="133"/>
      <c r="D56" s="133"/>
      <c r="E56" s="133"/>
      <c r="F56" s="133"/>
      <c r="G56" s="133"/>
      <c r="H56" s="134"/>
      <c r="I56" s="84"/>
      <c r="J56" s="51" t="s">
        <v>47</v>
      </c>
      <c r="K56" s="85"/>
      <c r="L56" s="138"/>
      <c r="M56" s="138"/>
      <c r="N56" s="82"/>
      <c r="O56" s="122" t="s">
        <v>79</v>
      </c>
      <c r="P56" s="122"/>
      <c r="Q56" s="122"/>
      <c r="R56" s="122"/>
      <c r="S56" s="122"/>
    </row>
    <row r="57" spans="1:19" s="53" customFormat="1" ht="50" customHeight="1" x14ac:dyDescent="0.2">
      <c r="A57" s="50">
        <v>8</v>
      </c>
      <c r="B57" s="132"/>
      <c r="C57" s="133"/>
      <c r="D57" s="133"/>
      <c r="E57" s="133"/>
      <c r="F57" s="133"/>
      <c r="G57" s="133"/>
      <c r="H57" s="134"/>
      <c r="I57" s="84"/>
      <c r="J57" s="51" t="s">
        <v>47</v>
      </c>
      <c r="K57" s="85"/>
      <c r="L57" s="138"/>
      <c r="M57" s="138"/>
      <c r="N57" s="82"/>
      <c r="O57" s="122" t="s">
        <v>79</v>
      </c>
      <c r="P57" s="122"/>
      <c r="Q57" s="122"/>
      <c r="R57" s="122"/>
      <c r="S57" s="122"/>
    </row>
    <row r="58" spans="1:19" s="53" customFormat="1" ht="50" customHeight="1" x14ac:dyDescent="0.2">
      <c r="A58" s="50">
        <v>9</v>
      </c>
      <c r="B58" s="132"/>
      <c r="C58" s="133"/>
      <c r="D58" s="133"/>
      <c r="E58" s="133"/>
      <c r="F58" s="133"/>
      <c r="G58" s="133"/>
      <c r="H58" s="134"/>
      <c r="I58" s="84"/>
      <c r="J58" s="51" t="s">
        <v>47</v>
      </c>
      <c r="K58" s="85"/>
      <c r="L58" s="138"/>
      <c r="M58" s="138"/>
      <c r="N58" s="82"/>
      <c r="O58" s="122" t="s">
        <v>79</v>
      </c>
      <c r="P58" s="122"/>
      <c r="Q58" s="122"/>
      <c r="R58" s="122"/>
      <c r="S58" s="122"/>
    </row>
    <row r="59" spans="1:19" s="53" customFormat="1" ht="50" customHeight="1" x14ac:dyDescent="0.2">
      <c r="A59" s="50">
        <v>10</v>
      </c>
      <c r="B59" s="132"/>
      <c r="C59" s="133"/>
      <c r="D59" s="133"/>
      <c r="E59" s="133"/>
      <c r="F59" s="133"/>
      <c r="G59" s="133"/>
      <c r="H59" s="134"/>
      <c r="I59" s="84"/>
      <c r="J59" s="51" t="s">
        <v>47</v>
      </c>
      <c r="K59" s="85"/>
      <c r="L59" s="138"/>
      <c r="M59" s="138"/>
      <c r="N59" s="82"/>
      <c r="O59" s="122" t="s">
        <v>79</v>
      </c>
      <c r="P59" s="122"/>
      <c r="Q59" s="122"/>
      <c r="R59" s="122"/>
      <c r="S59" s="122"/>
    </row>
    <row r="60" spans="1:19" ht="30.5" customHeight="1" x14ac:dyDescent="0.2">
      <c r="N60" s="18"/>
    </row>
    <row r="61" spans="1:19" x14ac:dyDescent="0.2">
      <c r="N61" s="18"/>
    </row>
    <row r="62" spans="1:19" x14ac:dyDescent="0.2">
      <c r="N62" s="18"/>
    </row>
    <row r="63" spans="1:19" x14ac:dyDescent="0.2">
      <c r="N63" s="18"/>
    </row>
    <row r="64" spans="1:19" x14ac:dyDescent="0.2">
      <c r="N64" s="18"/>
    </row>
    <row r="65" spans="14:14" x14ac:dyDescent="0.2">
      <c r="N65" s="18"/>
    </row>
    <row r="66" spans="14:14" x14ac:dyDescent="0.2">
      <c r="N66" s="18"/>
    </row>
    <row r="67" spans="14:14" x14ac:dyDescent="0.2">
      <c r="N67" s="18"/>
    </row>
    <row r="68" spans="14:14" x14ac:dyDescent="0.2">
      <c r="N68" s="18"/>
    </row>
    <row r="69" spans="14:14" x14ac:dyDescent="0.2">
      <c r="N69" s="18"/>
    </row>
    <row r="70" spans="14:14" x14ac:dyDescent="0.2">
      <c r="N70" s="18"/>
    </row>
    <row r="71" spans="14:14" x14ac:dyDescent="0.2">
      <c r="N71" s="18"/>
    </row>
    <row r="72" spans="14:14" x14ac:dyDescent="0.2">
      <c r="N72" s="18"/>
    </row>
    <row r="73" spans="14:14" x14ac:dyDescent="0.2">
      <c r="N73" s="18"/>
    </row>
    <row r="74" spans="14:14" x14ac:dyDescent="0.2">
      <c r="N74" s="18"/>
    </row>
    <row r="75" spans="14:14" x14ac:dyDescent="0.2">
      <c r="N75" s="18"/>
    </row>
    <row r="76" spans="14:14" x14ac:dyDescent="0.2">
      <c r="N76" s="18"/>
    </row>
    <row r="77" spans="14:14" x14ac:dyDescent="0.2">
      <c r="N77" s="18"/>
    </row>
    <row r="78" spans="14:14" x14ac:dyDescent="0.2">
      <c r="N78" s="18"/>
    </row>
    <row r="79" spans="14:14" x14ac:dyDescent="0.2">
      <c r="N79" s="18"/>
    </row>
    <row r="80" spans="14:14" x14ac:dyDescent="0.2">
      <c r="N80" s="18"/>
    </row>
    <row r="81" spans="14:14" x14ac:dyDescent="0.2">
      <c r="N81" s="18"/>
    </row>
    <row r="82" spans="14:14" x14ac:dyDescent="0.2">
      <c r="N82" s="18"/>
    </row>
    <row r="83" spans="14:14" x14ac:dyDescent="0.2">
      <c r="N83" s="18"/>
    </row>
    <row r="84" spans="14:14" x14ac:dyDescent="0.2">
      <c r="N84" s="18"/>
    </row>
    <row r="85" spans="14:14" x14ac:dyDescent="0.2">
      <c r="N85" s="18"/>
    </row>
    <row r="86" spans="14:14" x14ac:dyDescent="0.2">
      <c r="N86" s="18"/>
    </row>
    <row r="87" spans="14:14" x14ac:dyDescent="0.2">
      <c r="N87" s="18"/>
    </row>
    <row r="88" spans="14:14" x14ac:dyDescent="0.2">
      <c r="N88" s="18"/>
    </row>
    <row r="89" spans="14:14" x14ac:dyDescent="0.2">
      <c r="N89" s="18"/>
    </row>
    <row r="90" spans="14:14" x14ac:dyDescent="0.2">
      <c r="N90" s="18"/>
    </row>
    <row r="91" spans="14:14" x14ac:dyDescent="0.2">
      <c r="N91" s="18"/>
    </row>
    <row r="92" spans="14:14" x14ac:dyDescent="0.2">
      <c r="N92" s="18"/>
    </row>
    <row r="93" spans="14:14" x14ac:dyDescent="0.2">
      <c r="N93" s="18"/>
    </row>
    <row r="94" spans="14:14" x14ac:dyDescent="0.2">
      <c r="N94" s="18"/>
    </row>
    <row r="95" spans="14:14" x14ac:dyDescent="0.2">
      <c r="N95" s="18"/>
    </row>
    <row r="96" spans="14:14" x14ac:dyDescent="0.2">
      <c r="N96" s="18"/>
    </row>
    <row r="97" spans="14:14" x14ac:dyDescent="0.2">
      <c r="N97" s="18"/>
    </row>
    <row r="98" spans="14:14" x14ac:dyDescent="0.2">
      <c r="N98" s="18"/>
    </row>
    <row r="99" spans="14:14" x14ac:dyDescent="0.2">
      <c r="N99" s="18"/>
    </row>
    <row r="100" spans="14:14" x14ac:dyDescent="0.2">
      <c r="N100" s="18"/>
    </row>
    <row r="101" spans="14:14" x14ac:dyDescent="0.2">
      <c r="N101" s="18"/>
    </row>
    <row r="102" spans="14:14" x14ac:dyDescent="0.2">
      <c r="N102" s="18"/>
    </row>
    <row r="103" spans="14:14" x14ac:dyDescent="0.2">
      <c r="N103" s="18"/>
    </row>
    <row r="104" spans="14:14" x14ac:dyDescent="0.2">
      <c r="N104" s="18"/>
    </row>
    <row r="105" spans="14:14" x14ac:dyDescent="0.2">
      <c r="N105" s="18"/>
    </row>
    <row r="106" spans="14:14" x14ac:dyDescent="0.2">
      <c r="N106" s="18"/>
    </row>
    <row r="107" spans="14:14" x14ac:dyDescent="0.2">
      <c r="N107" s="18"/>
    </row>
    <row r="108" spans="14:14" x14ac:dyDescent="0.2">
      <c r="N108" s="18"/>
    </row>
    <row r="109" spans="14:14" x14ac:dyDescent="0.2">
      <c r="N109" s="18"/>
    </row>
    <row r="110" spans="14:14" x14ac:dyDescent="0.2">
      <c r="N110" s="18"/>
    </row>
    <row r="111" spans="14:14" x14ac:dyDescent="0.2">
      <c r="N111" s="18"/>
    </row>
    <row r="112" spans="14:14" x14ac:dyDescent="0.2">
      <c r="N112" s="18"/>
    </row>
    <row r="113" spans="14:14" x14ac:dyDescent="0.2">
      <c r="N113" s="18"/>
    </row>
    <row r="114" spans="14:14" x14ac:dyDescent="0.2">
      <c r="N114" s="18"/>
    </row>
    <row r="115" spans="14:14" x14ac:dyDescent="0.2">
      <c r="N115" s="18"/>
    </row>
    <row r="116" spans="14:14" x14ac:dyDescent="0.2">
      <c r="N116" s="18"/>
    </row>
    <row r="117" spans="14:14" x14ac:dyDescent="0.2">
      <c r="N117" s="18"/>
    </row>
    <row r="118" spans="14:14" x14ac:dyDescent="0.2">
      <c r="N118" s="18"/>
    </row>
    <row r="119" spans="14:14" x14ac:dyDescent="0.2">
      <c r="N119" s="18"/>
    </row>
    <row r="120" spans="14:14" x14ac:dyDescent="0.2">
      <c r="N120" s="18"/>
    </row>
    <row r="121" spans="14:14" x14ac:dyDescent="0.2">
      <c r="N121" s="18"/>
    </row>
    <row r="122" spans="14:14" x14ac:dyDescent="0.2">
      <c r="N122" s="18"/>
    </row>
    <row r="123" spans="14:14" x14ac:dyDescent="0.2">
      <c r="N123" s="18"/>
    </row>
    <row r="124" spans="14:14" x14ac:dyDescent="0.2">
      <c r="N124" s="18"/>
    </row>
    <row r="125" spans="14:14" x14ac:dyDescent="0.2">
      <c r="N125" s="18"/>
    </row>
    <row r="126" spans="14:14" x14ac:dyDescent="0.2">
      <c r="N126" s="18"/>
    </row>
    <row r="127" spans="14:14" x14ac:dyDescent="0.2">
      <c r="N127" s="18"/>
    </row>
    <row r="128" spans="14:14" x14ac:dyDescent="0.2">
      <c r="N128" s="18"/>
    </row>
    <row r="129" spans="14:14" x14ac:dyDescent="0.2">
      <c r="N129" s="18"/>
    </row>
    <row r="130" spans="14:14" x14ac:dyDescent="0.2">
      <c r="N130" s="18"/>
    </row>
    <row r="131" spans="14:14" x14ac:dyDescent="0.2">
      <c r="N131" s="18"/>
    </row>
    <row r="132" spans="14:14" x14ac:dyDescent="0.2">
      <c r="N132" s="18"/>
    </row>
    <row r="133" spans="14:14" x14ac:dyDescent="0.2">
      <c r="N133" s="18"/>
    </row>
    <row r="134" spans="14:14" x14ac:dyDescent="0.2">
      <c r="N134" s="18"/>
    </row>
    <row r="135" spans="14:14" x14ac:dyDescent="0.2">
      <c r="N135" s="18"/>
    </row>
    <row r="136" spans="14:14" x14ac:dyDescent="0.2">
      <c r="N136" s="18"/>
    </row>
    <row r="137" spans="14:14" x14ac:dyDescent="0.2">
      <c r="N137" s="18"/>
    </row>
    <row r="138" spans="14:14" x14ac:dyDescent="0.2">
      <c r="N138" s="18"/>
    </row>
    <row r="139" spans="14:14" x14ac:dyDescent="0.2">
      <c r="N139" s="18"/>
    </row>
    <row r="140" spans="14:14" x14ac:dyDescent="0.2">
      <c r="N140" s="18"/>
    </row>
    <row r="141" spans="14:14" x14ac:dyDescent="0.2">
      <c r="N141" s="18"/>
    </row>
    <row r="142" spans="14:14" x14ac:dyDescent="0.2">
      <c r="N142" s="18"/>
    </row>
    <row r="143" spans="14:14" x14ac:dyDescent="0.2">
      <c r="N143" s="18"/>
    </row>
    <row r="144" spans="14:14" x14ac:dyDescent="0.2">
      <c r="N144" s="18"/>
    </row>
    <row r="145" spans="14:14" x14ac:dyDescent="0.2">
      <c r="N145" s="18"/>
    </row>
    <row r="146" spans="14:14" x14ac:dyDescent="0.2">
      <c r="N146" s="18"/>
    </row>
    <row r="147" spans="14:14" x14ac:dyDescent="0.2">
      <c r="N147" s="18"/>
    </row>
    <row r="148" spans="14:14" x14ac:dyDescent="0.2">
      <c r="N148" s="18"/>
    </row>
    <row r="149" spans="14:14" x14ac:dyDescent="0.2">
      <c r="N149" s="18"/>
    </row>
    <row r="150" spans="14:14" x14ac:dyDescent="0.2">
      <c r="N150" s="18"/>
    </row>
    <row r="151" spans="14:14" x14ac:dyDescent="0.2">
      <c r="N151" s="18"/>
    </row>
    <row r="152" spans="14:14" x14ac:dyDescent="0.2">
      <c r="N152" s="18"/>
    </row>
    <row r="153" spans="14:14" x14ac:dyDescent="0.2">
      <c r="N153" s="18"/>
    </row>
    <row r="154" spans="14:14" x14ac:dyDescent="0.2">
      <c r="N154" s="18"/>
    </row>
    <row r="155" spans="14:14" x14ac:dyDescent="0.2">
      <c r="N155" s="18"/>
    </row>
    <row r="156" spans="14:14" x14ac:dyDescent="0.2">
      <c r="N156" s="18"/>
    </row>
    <row r="157" spans="14:14" x14ac:dyDescent="0.2">
      <c r="N157" s="18"/>
    </row>
    <row r="158" spans="14:14" x14ac:dyDescent="0.2">
      <c r="N158" s="18"/>
    </row>
    <row r="159" spans="14:14" x14ac:dyDescent="0.2">
      <c r="N159" s="18"/>
    </row>
    <row r="160" spans="14:14" x14ac:dyDescent="0.2">
      <c r="N160" s="18"/>
    </row>
    <row r="161" spans="14:14" x14ac:dyDescent="0.2">
      <c r="N161" s="18"/>
    </row>
    <row r="162" spans="14:14" x14ac:dyDescent="0.2">
      <c r="N162" s="18"/>
    </row>
    <row r="163" spans="14:14" x14ac:dyDescent="0.2">
      <c r="N163" s="18"/>
    </row>
    <row r="164" spans="14:14" x14ac:dyDescent="0.2">
      <c r="N164" s="18"/>
    </row>
    <row r="165" spans="14:14" x14ac:dyDescent="0.2">
      <c r="N165" s="18"/>
    </row>
    <row r="166" spans="14:14" x14ac:dyDescent="0.2">
      <c r="N166" s="18"/>
    </row>
    <row r="167" spans="14:14" x14ac:dyDescent="0.2">
      <c r="N167" s="18"/>
    </row>
    <row r="168" spans="14:14" x14ac:dyDescent="0.2">
      <c r="N168" s="18"/>
    </row>
    <row r="169" spans="14:14" x14ac:dyDescent="0.2">
      <c r="N169" s="18"/>
    </row>
    <row r="170" spans="14:14" x14ac:dyDescent="0.2">
      <c r="N170" s="18"/>
    </row>
    <row r="171" spans="14:14" x14ac:dyDescent="0.2">
      <c r="N171" s="18"/>
    </row>
    <row r="172" spans="14:14" x14ac:dyDescent="0.2">
      <c r="N172" s="18"/>
    </row>
    <row r="173" spans="14:14" x14ac:dyDescent="0.2">
      <c r="N173" s="18"/>
    </row>
    <row r="174" spans="14:14" x14ac:dyDescent="0.2">
      <c r="N174" s="18"/>
    </row>
    <row r="175" spans="14:14" x14ac:dyDescent="0.2">
      <c r="N175" s="18"/>
    </row>
    <row r="176" spans="14:14" x14ac:dyDescent="0.2">
      <c r="N176" s="18"/>
    </row>
    <row r="177" spans="14:14" x14ac:dyDescent="0.2">
      <c r="N177" s="18"/>
    </row>
    <row r="178" spans="14:14" x14ac:dyDescent="0.2">
      <c r="N178" s="18"/>
    </row>
    <row r="179" spans="14:14" x14ac:dyDescent="0.2">
      <c r="N179" s="18"/>
    </row>
    <row r="180" spans="14:14" x14ac:dyDescent="0.2">
      <c r="N180" s="18"/>
    </row>
    <row r="181" spans="14:14" x14ac:dyDescent="0.2">
      <c r="N181" s="18"/>
    </row>
    <row r="182" spans="14:14" x14ac:dyDescent="0.2">
      <c r="N182" s="18"/>
    </row>
    <row r="183" spans="14:14" x14ac:dyDescent="0.2">
      <c r="N183" s="18"/>
    </row>
    <row r="184" spans="14:14" x14ac:dyDescent="0.2">
      <c r="N184" s="18"/>
    </row>
    <row r="185" spans="14:14" x14ac:dyDescent="0.2">
      <c r="N185" s="18"/>
    </row>
    <row r="186" spans="14:14" x14ac:dyDescent="0.2">
      <c r="N186" s="18"/>
    </row>
    <row r="187" spans="14:14" x14ac:dyDescent="0.2">
      <c r="N187" s="18"/>
    </row>
    <row r="188" spans="14:14" x14ac:dyDescent="0.2">
      <c r="N188" s="18"/>
    </row>
    <row r="189" spans="14:14" x14ac:dyDescent="0.2">
      <c r="N189" s="18"/>
    </row>
    <row r="190" spans="14:14" x14ac:dyDescent="0.2">
      <c r="N190" s="18"/>
    </row>
    <row r="191" spans="14:14" x14ac:dyDescent="0.2">
      <c r="N191" s="18"/>
    </row>
    <row r="192" spans="14:14" x14ac:dyDescent="0.2">
      <c r="N192" s="18"/>
    </row>
    <row r="193" spans="14:14" x14ac:dyDescent="0.2">
      <c r="N193" s="18"/>
    </row>
    <row r="194" spans="14:14" x14ac:dyDescent="0.2">
      <c r="N194" s="18"/>
    </row>
    <row r="195" spans="14:14" x14ac:dyDescent="0.2">
      <c r="N195" s="18"/>
    </row>
    <row r="196" spans="14:14" x14ac:dyDescent="0.2">
      <c r="N196" s="18"/>
    </row>
    <row r="197" spans="14:14" x14ac:dyDescent="0.2">
      <c r="N197" s="18"/>
    </row>
    <row r="198" spans="14:14" x14ac:dyDescent="0.2">
      <c r="N198" s="18"/>
    </row>
    <row r="199" spans="14:14" x14ac:dyDescent="0.2">
      <c r="N199" s="18"/>
    </row>
    <row r="200" spans="14:14" x14ac:dyDescent="0.2">
      <c r="N200" s="18"/>
    </row>
    <row r="201" spans="14:14" x14ac:dyDescent="0.2">
      <c r="N201" s="18"/>
    </row>
    <row r="202" spans="14:14" x14ac:dyDescent="0.2">
      <c r="N202" s="18"/>
    </row>
    <row r="203" spans="14:14" x14ac:dyDescent="0.2">
      <c r="N203" s="18"/>
    </row>
    <row r="204" spans="14:14" x14ac:dyDescent="0.2">
      <c r="N204" s="18"/>
    </row>
    <row r="205" spans="14:14" x14ac:dyDescent="0.2">
      <c r="N205" s="18"/>
    </row>
    <row r="206" spans="14:14" x14ac:dyDescent="0.2">
      <c r="N206" s="18"/>
    </row>
    <row r="207" spans="14:14" x14ac:dyDescent="0.2">
      <c r="N207" s="18"/>
    </row>
    <row r="208" spans="14:14" x14ac:dyDescent="0.2">
      <c r="N208" s="18"/>
    </row>
    <row r="209" spans="14:14" x14ac:dyDescent="0.2">
      <c r="N209" s="18"/>
    </row>
    <row r="210" spans="14:14" x14ac:dyDescent="0.2">
      <c r="N210" s="18"/>
    </row>
    <row r="211" spans="14:14" x14ac:dyDescent="0.2">
      <c r="N211" s="18"/>
    </row>
    <row r="212" spans="14:14" x14ac:dyDescent="0.2">
      <c r="N212" s="18"/>
    </row>
    <row r="213" spans="14:14" x14ac:dyDescent="0.2">
      <c r="N213" s="18"/>
    </row>
    <row r="214" spans="14:14" x14ac:dyDescent="0.2">
      <c r="N214" s="18"/>
    </row>
    <row r="215" spans="14:14" x14ac:dyDescent="0.2">
      <c r="N215" s="18"/>
    </row>
    <row r="216" spans="14:14" x14ac:dyDescent="0.2">
      <c r="N216" s="18"/>
    </row>
    <row r="217" spans="14:14" x14ac:dyDescent="0.2">
      <c r="N217" s="18"/>
    </row>
    <row r="218" spans="14:14" x14ac:dyDescent="0.2">
      <c r="N218" s="18"/>
    </row>
    <row r="219" spans="14:14" x14ac:dyDescent="0.2">
      <c r="N219" s="18"/>
    </row>
    <row r="220" spans="14:14" x14ac:dyDescent="0.2">
      <c r="N220" s="18"/>
    </row>
    <row r="221" spans="14:14" x14ac:dyDescent="0.2">
      <c r="N221" s="18"/>
    </row>
    <row r="222" spans="14:14" x14ac:dyDescent="0.2">
      <c r="N222" s="18"/>
    </row>
    <row r="223" spans="14:14" x14ac:dyDescent="0.2">
      <c r="N223" s="18"/>
    </row>
    <row r="224" spans="14:14" x14ac:dyDescent="0.2">
      <c r="N224" s="18"/>
    </row>
    <row r="225" spans="14:14" x14ac:dyDescent="0.2">
      <c r="N225" s="18"/>
    </row>
    <row r="226" spans="14:14" x14ac:dyDescent="0.2">
      <c r="N226" s="18"/>
    </row>
    <row r="227" spans="14:14" x14ac:dyDescent="0.2">
      <c r="N227" s="18"/>
    </row>
    <row r="228" spans="14:14" x14ac:dyDescent="0.2">
      <c r="N228" s="18"/>
    </row>
    <row r="229" spans="14:14" x14ac:dyDescent="0.2">
      <c r="N229" s="18"/>
    </row>
    <row r="230" spans="14:14" x14ac:dyDescent="0.2">
      <c r="N230" s="18"/>
    </row>
    <row r="231" spans="14:14" x14ac:dyDescent="0.2">
      <c r="N231" s="18"/>
    </row>
    <row r="232" spans="14:14" x14ac:dyDescent="0.2">
      <c r="N232" s="18"/>
    </row>
    <row r="233" spans="14:14" x14ac:dyDescent="0.2">
      <c r="N233" s="18"/>
    </row>
    <row r="234" spans="14:14" x14ac:dyDescent="0.2">
      <c r="N234" s="18"/>
    </row>
    <row r="235" spans="14:14" x14ac:dyDescent="0.2">
      <c r="N235" s="18"/>
    </row>
    <row r="236" spans="14:14" x14ac:dyDescent="0.2">
      <c r="N236" s="18"/>
    </row>
    <row r="237" spans="14:14" x14ac:dyDescent="0.2">
      <c r="N237" s="18"/>
    </row>
    <row r="238" spans="14:14" x14ac:dyDescent="0.2">
      <c r="N238" s="18"/>
    </row>
    <row r="239" spans="14:14" x14ac:dyDescent="0.2">
      <c r="N239" s="18"/>
    </row>
    <row r="240" spans="14:14" x14ac:dyDescent="0.2">
      <c r="N240" s="18"/>
    </row>
    <row r="241" spans="14:14" x14ac:dyDescent="0.2">
      <c r="N241" s="18"/>
    </row>
    <row r="242" spans="14:14" x14ac:dyDescent="0.2">
      <c r="N242" s="18"/>
    </row>
    <row r="243" spans="14:14" x14ac:dyDescent="0.2">
      <c r="N243" s="18"/>
    </row>
    <row r="244" spans="14:14" x14ac:dyDescent="0.2">
      <c r="N244" s="18"/>
    </row>
    <row r="245" spans="14:14" x14ac:dyDescent="0.2">
      <c r="N245" s="18"/>
    </row>
    <row r="246" spans="14:14" x14ac:dyDescent="0.2">
      <c r="N246" s="18"/>
    </row>
    <row r="247" spans="14:14" x14ac:dyDescent="0.2">
      <c r="N247" s="18"/>
    </row>
    <row r="248" spans="14:14" x14ac:dyDescent="0.2">
      <c r="N248" s="18"/>
    </row>
    <row r="249" spans="14:14" x14ac:dyDescent="0.2">
      <c r="N249" s="18"/>
    </row>
    <row r="250" spans="14:14" x14ac:dyDescent="0.2">
      <c r="N250" s="18"/>
    </row>
    <row r="251" spans="14:14" x14ac:dyDescent="0.2">
      <c r="N251" s="18"/>
    </row>
    <row r="252" spans="14:14" x14ac:dyDescent="0.2">
      <c r="N252" s="18"/>
    </row>
    <row r="253" spans="14:14" x14ac:dyDescent="0.2">
      <c r="N253" s="18"/>
    </row>
    <row r="254" spans="14:14" x14ac:dyDescent="0.2">
      <c r="N254" s="18"/>
    </row>
    <row r="255" spans="14:14" x14ac:dyDescent="0.2">
      <c r="N255" s="18"/>
    </row>
    <row r="256" spans="14:14" x14ac:dyDescent="0.2">
      <c r="N256" s="18"/>
    </row>
    <row r="257" spans="14:14" x14ac:dyDescent="0.2">
      <c r="N257" s="18"/>
    </row>
    <row r="258" spans="14:14" x14ac:dyDescent="0.2">
      <c r="N258" s="18"/>
    </row>
    <row r="259" spans="14:14" x14ac:dyDescent="0.2">
      <c r="N259" s="18"/>
    </row>
    <row r="260" spans="14:14" x14ac:dyDescent="0.2">
      <c r="N260" s="18"/>
    </row>
    <row r="261" spans="14:14" x14ac:dyDescent="0.2">
      <c r="N261" s="18"/>
    </row>
    <row r="262" spans="14:14" x14ac:dyDescent="0.2">
      <c r="N262" s="18"/>
    </row>
    <row r="263" spans="14:14" x14ac:dyDescent="0.2">
      <c r="N263" s="18"/>
    </row>
    <row r="264" spans="14:14" x14ac:dyDescent="0.2">
      <c r="N264" s="18"/>
    </row>
    <row r="265" spans="14:14" x14ac:dyDescent="0.2">
      <c r="N265" s="18"/>
    </row>
    <row r="266" spans="14:14" x14ac:dyDescent="0.2">
      <c r="N266" s="18"/>
    </row>
    <row r="267" spans="14:14" x14ac:dyDescent="0.2">
      <c r="N267" s="18"/>
    </row>
    <row r="268" spans="14:14" x14ac:dyDescent="0.2">
      <c r="N268" s="18"/>
    </row>
    <row r="269" spans="14:14" x14ac:dyDescent="0.2">
      <c r="N269" s="18"/>
    </row>
    <row r="270" spans="14:14" x14ac:dyDescent="0.2">
      <c r="N270" s="18"/>
    </row>
    <row r="271" spans="14:14" x14ac:dyDescent="0.2">
      <c r="N271" s="18"/>
    </row>
    <row r="272" spans="14:14" x14ac:dyDescent="0.2">
      <c r="N272" s="18"/>
    </row>
    <row r="273" spans="14:14" x14ac:dyDescent="0.2">
      <c r="N273" s="18"/>
    </row>
    <row r="274" spans="14:14" x14ac:dyDescent="0.2">
      <c r="N274" s="18"/>
    </row>
    <row r="275" spans="14:14" x14ac:dyDescent="0.2">
      <c r="N275" s="18"/>
    </row>
    <row r="276" spans="14:14" x14ac:dyDescent="0.2">
      <c r="N276" s="18"/>
    </row>
    <row r="277" spans="14:14" x14ac:dyDescent="0.2">
      <c r="N277" s="18"/>
    </row>
    <row r="278" spans="14:14" x14ac:dyDescent="0.2">
      <c r="N278" s="18"/>
    </row>
    <row r="279" spans="14:14" x14ac:dyDescent="0.2">
      <c r="N279" s="18"/>
    </row>
    <row r="280" spans="14:14" x14ac:dyDescent="0.2">
      <c r="N280" s="18"/>
    </row>
    <row r="281" spans="14:14" x14ac:dyDescent="0.2">
      <c r="N281" s="18"/>
    </row>
    <row r="282" spans="14:14" x14ac:dyDescent="0.2">
      <c r="N282" s="18"/>
    </row>
    <row r="283" spans="14:14" x14ac:dyDescent="0.2">
      <c r="N283" s="18"/>
    </row>
    <row r="284" spans="14:14" x14ac:dyDescent="0.2">
      <c r="N284" s="18"/>
    </row>
    <row r="285" spans="14:14" x14ac:dyDescent="0.2">
      <c r="N285" s="18"/>
    </row>
    <row r="286" spans="14:14" x14ac:dyDescent="0.2">
      <c r="N286" s="18"/>
    </row>
    <row r="287" spans="14:14" x14ac:dyDescent="0.2">
      <c r="N287" s="18"/>
    </row>
    <row r="288" spans="14:14" x14ac:dyDescent="0.2">
      <c r="N288" s="18"/>
    </row>
    <row r="289" spans="14:14" x14ac:dyDescent="0.2">
      <c r="N289" s="18"/>
    </row>
    <row r="290" spans="14:14" x14ac:dyDescent="0.2">
      <c r="N290" s="18"/>
    </row>
    <row r="291" spans="14:14" x14ac:dyDescent="0.2">
      <c r="N291" s="18"/>
    </row>
    <row r="292" spans="14:14" x14ac:dyDescent="0.2">
      <c r="N292" s="18"/>
    </row>
    <row r="293" spans="14:14" x14ac:dyDescent="0.2">
      <c r="N293" s="18"/>
    </row>
    <row r="294" spans="14:14" x14ac:dyDescent="0.2">
      <c r="N294" s="18"/>
    </row>
    <row r="295" spans="14:14" x14ac:dyDescent="0.2">
      <c r="N295" s="18"/>
    </row>
    <row r="296" spans="14:14" x14ac:dyDescent="0.2">
      <c r="N296" s="18"/>
    </row>
    <row r="297" spans="14:14" x14ac:dyDescent="0.2">
      <c r="N297" s="18"/>
    </row>
    <row r="298" spans="14:14" x14ac:dyDescent="0.2">
      <c r="N298" s="18"/>
    </row>
    <row r="299" spans="14:14" x14ac:dyDescent="0.2">
      <c r="N299" s="18"/>
    </row>
    <row r="300" spans="14:14" x14ac:dyDescent="0.2">
      <c r="N300" s="18"/>
    </row>
    <row r="301" spans="14:14" x14ac:dyDescent="0.2">
      <c r="N301" s="18"/>
    </row>
    <row r="302" spans="14:14" x14ac:dyDescent="0.2">
      <c r="N302" s="18"/>
    </row>
    <row r="303" spans="14:14" x14ac:dyDescent="0.2">
      <c r="N303" s="18"/>
    </row>
    <row r="304" spans="14:14" x14ac:dyDescent="0.2">
      <c r="N304" s="18"/>
    </row>
    <row r="305" spans="14:14" x14ac:dyDescent="0.2">
      <c r="N305" s="18"/>
    </row>
    <row r="306" spans="14:14" x14ac:dyDescent="0.2">
      <c r="N306" s="18"/>
    </row>
    <row r="307" spans="14:14" x14ac:dyDescent="0.2">
      <c r="N307" s="18"/>
    </row>
    <row r="308" spans="14:14" x14ac:dyDescent="0.2">
      <c r="N308" s="18"/>
    </row>
    <row r="309" spans="14:14" x14ac:dyDescent="0.2">
      <c r="N309" s="18"/>
    </row>
    <row r="310" spans="14:14" x14ac:dyDescent="0.2">
      <c r="N310" s="18"/>
    </row>
    <row r="311" spans="14:14" x14ac:dyDescent="0.2">
      <c r="N311" s="18"/>
    </row>
    <row r="312" spans="14:14" x14ac:dyDescent="0.2">
      <c r="N312" s="18"/>
    </row>
    <row r="313" spans="14:14" x14ac:dyDescent="0.2">
      <c r="N313" s="18"/>
    </row>
    <row r="314" spans="14:14" x14ac:dyDescent="0.2">
      <c r="N314" s="18"/>
    </row>
    <row r="315" spans="14:14" x14ac:dyDescent="0.2">
      <c r="N315" s="18"/>
    </row>
    <row r="316" spans="14:14" x14ac:dyDescent="0.2">
      <c r="N316" s="18"/>
    </row>
    <row r="317" spans="14:14" x14ac:dyDescent="0.2">
      <c r="N317" s="18"/>
    </row>
    <row r="318" spans="14:14" x14ac:dyDescent="0.2">
      <c r="N318" s="18"/>
    </row>
    <row r="319" spans="14:14" x14ac:dyDescent="0.2">
      <c r="N319" s="18"/>
    </row>
    <row r="320" spans="14:14" x14ac:dyDescent="0.2">
      <c r="N320" s="18"/>
    </row>
    <row r="321" spans="14:14" x14ac:dyDescent="0.2">
      <c r="N321" s="18"/>
    </row>
    <row r="322" spans="14:14" x14ac:dyDescent="0.2">
      <c r="N322" s="18"/>
    </row>
    <row r="323" spans="14:14" x14ac:dyDescent="0.2">
      <c r="N323" s="18"/>
    </row>
    <row r="324" spans="14:14" x14ac:dyDescent="0.2">
      <c r="N324" s="18"/>
    </row>
    <row r="325" spans="14:14" x14ac:dyDescent="0.2">
      <c r="N325" s="18"/>
    </row>
    <row r="326" spans="14:14" x14ac:dyDescent="0.2">
      <c r="N326" s="18"/>
    </row>
    <row r="327" spans="14:14" x14ac:dyDescent="0.2">
      <c r="N327" s="18"/>
    </row>
    <row r="328" spans="14:14" x14ac:dyDescent="0.2">
      <c r="N328" s="18"/>
    </row>
    <row r="329" spans="14:14" x14ac:dyDescent="0.2">
      <c r="N329" s="18"/>
    </row>
    <row r="330" spans="14:14" x14ac:dyDescent="0.2">
      <c r="N330" s="18"/>
    </row>
    <row r="331" spans="14:14" x14ac:dyDescent="0.2">
      <c r="N331" s="18"/>
    </row>
    <row r="332" spans="14:14" x14ac:dyDescent="0.2">
      <c r="N332" s="18"/>
    </row>
    <row r="333" spans="14:14" x14ac:dyDescent="0.2">
      <c r="N333" s="18"/>
    </row>
    <row r="334" spans="14:14" x14ac:dyDescent="0.2">
      <c r="N334" s="18"/>
    </row>
    <row r="335" spans="14:14" x14ac:dyDescent="0.2">
      <c r="N335" s="18"/>
    </row>
    <row r="336" spans="14:14" x14ac:dyDescent="0.2">
      <c r="N336" s="18"/>
    </row>
    <row r="337" spans="14:14" x14ac:dyDescent="0.2">
      <c r="N337" s="18"/>
    </row>
    <row r="338" spans="14:14" x14ac:dyDescent="0.2">
      <c r="N338" s="18"/>
    </row>
    <row r="339" spans="14:14" x14ac:dyDescent="0.2">
      <c r="N339" s="18"/>
    </row>
    <row r="340" spans="14:14" x14ac:dyDescent="0.2">
      <c r="N340" s="18"/>
    </row>
    <row r="341" spans="14:14" x14ac:dyDescent="0.2">
      <c r="N341" s="18"/>
    </row>
    <row r="342" spans="14:14" x14ac:dyDescent="0.2">
      <c r="N342" s="18"/>
    </row>
    <row r="343" spans="14:14" x14ac:dyDescent="0.2">
      <c r="N343" s="18"/>
    </row>
    <row r="344" spans="14:14" x14ac:dyDescent="0.2">
      <c r="N344" s="18"/>
    </row>
    <row r="345" spans="14:14" x14ac:dyDescent="0.2">
      <c r="N345" s="18"/>
    </row>
    <row r="346" spans="14:14" x14ac:dyDescent="0.2">
      <c r="N346" s="18"/>
    </row>
    <row r="347" spans="14:14" x14ac:dyDescent="0.2">
      <c r="N347" s="18"/>
    </row>
    <row r="348" spans="14:14" x14ac:dyDescent="0.2">
      <c r="N348" s="18"/>
    </row>
    <row r="349" spans="14:14" x14ac:dyDescent="0.2">
      <c r="N349" s="18"/>
    </row>
    <row r="350" spans="14:14" x14ac:dyDescent="0.2">
      <c r="N350" s="18"/>
    </row>
    <row r="351" spans="14:14" x14ac:dyDescent="0.2">
      <c r="N351" s="18"/>
    </row>
    <row r="352" spans="14:14" x14ac:dyDescent="0.2">
      <c r="N352" s="18"/>
    </row>
    <row r="353" spans="14:14" x14ac:dyDescent="0.2">
      <c r="N353" s="18"/>
    </row>
    <row r="354" spans="14:14" x14ac:dyDescent="0.2">
      <c r="N354" s="18"/>
    </row>
    <row r="355" spans="14:14" x14ac:dyDescent="0.2">
      <c r="N355" s="18"/>
    </row>
    <row r="356" spans="14:14" x14ac:dyDescent="0.2">
      <c r="N356" s="18"/>
    </row>
    <row r="357" spans="14:14" x14ac:dyDescent="0.2">
      <c r="N357" s="18"/>
    </row>
    <row r="358" spans="14:14" x14ac:dyDescent="0.2">
      <c r="N358" s="18"/>
    </row>
    <row r="359" spans="14:14" x14ac:dyDescent="0.2">
      <c r="N359" s="18"/>
    </row>
    <row r="360" spans="14:14" x14ac:dyDescent="0.2">
      <c r="N360" s="18"/>
    </row>
    <row r="361" spans="14:14" x14ac:dyDescent="0.2">
      <c r="N361" s="18"/>
    </row>
    <row r="362" spans="14:14" x14ac:dyDescent="0.2">
      <c r="N362" s="18"/>
    </row>
    <row r="363" spans="14:14" x14ac:dyDescent="0.2">
      <c r="N363" s="18"/>
    </row>
    <row r="364" spans="14:14" x14ac:dyDescent="0.2">
      <c r="N364" s="18"/>
    </row>
    <row r="365" spans="14:14" x14ac:dyDescent="0.2">
      <c r="N365" s="18"/>
    </row>
    <row r="366" spans="14:14" x14ac:dyDescent="0.2">
      <c r="N366" s="18"/>
    </row>
    <row r="367" spans="14:14" x14ac:dyDescent="0.2">
      <c r="N367" s="18"/>
    </row>
    <row r="368" spans="14:14" x14ac:dyDescent="0.2">
      <c r="N368" s="18"/>
    </row>
    <row r="369" spans="14:14" x14ac:dyDescent="0.2">
      <c r="N369" s="18"/>
    </row>
    <row r="370" spans="14:14" x14ac:dyDescent="0.2">
      <c r="N370" s="18"/>
    </row>
    <row r="371" spans="14:14" x14ac:dyDescent="0.2">
      <c r="N371" s="18"/>
    </row>
    <row r="372" spans="14:14" x14ac:dyDescent="0.2">
      <c r="N372" s="18"/>
    </row>
    <row r="373" spans="14:14" x14ac:dyDescent="0.2">
      <c r="N373" s="18"/>
    </row>
    <row r="374" spans="14:14" x14ac:dyDescent="0.2">
      <c r="N374" s="18"/>
    </row>
    <row r="375" spans="14:14" x14ac:dyDescent="0.2">
      <c r="N375" s="18"/>
    </row>
    <row r="376" spans="14:14" x14ac:dyDescent="0.2">
      <c r="N376" s="18"/>
    </row>
    <row r="377" spans="14:14" x14ac:dyDescent="0.2">
      <c r="N377" s="18"/>
    </row>
    <row r="378" spans="14:14" x14ac:dyDescent="0.2">
      <c r="N378" s="18"/>
    </row>
    <row r="379" spans="14:14" x14ac:dyDescent="0.2">
      <c r="N379" s="18"/>
    </row>
    <row r="380" spans="14:14" x14ac:dyDescent="0.2">
      <c r="N380" s="18"/>
    </row>
    <row r="381" spans="14:14" x14ac:dyDescent="0.2">
      <c r="N381" s="18"/>
    </row>
    <row r="382" spans="14:14" x14ac:dyDescent="0.2">
      <c r="N382" s="18"/>
    </row>
    <row r="383" spans="14:14" x14ac:dyDescent="0.2">
      <c r="N383" s="18"/>
    </row>
    <row r="384" spans="14:14" x14ac:dyDescent="0.2">
      <c r="N384" s="18"/>
    </row>
    <row r="385" spans="14:14" x14ac:dyDescent="0.2">
      <c r="N385" s="18"/>
    </row>
    <row r="386" spans="14:14" x14ac:dyDescent="0.2">
      <c r="N386" s="18"/>
    </row>
    <row r="387" spans="14:14" x14ac:dyDescent="0.2">
      <c r="N387" s="18"/>
    </row>
    <row r="388" spans="14:14" x14ac:dyDescent="0.2">
      <c r="N388" s="18"/>
    </row>
    <row r="389" spans="14:14" x14ac:dyDescent="0.2">
      <c r="N389" s="18"/>
    </row>
    <row r="390" spans="14:14" x14ac:dyDescent="0.2">
      <c r="N390" s="18"/>
    </row>
    <row r="391" spans="14:14" x14ac:dyDescent="0.2">
      <c r="N391" s="18"/>
    </row>
    <row r="392" spans="14:14" x14ac:dyDescent="0.2">
      <c r="N392" s="18"/>
    </row>
    <row r="393" spans="14:14" x14ac:dyDescent="0.2">
      <c r="N393" s="18"/>
    </row>
    <row r="394" spans="14:14" x14ac:dyDescent="0.2">
      <c r="N394" s="18"/>
    </row>
    <row r="395" spans="14:14" x14ac:dyDescent="0.2">
      <c r="N395" s="18"/>
    </row>
    <row r="396" spans="14:14" x14ac:dyDescent="0.2">
      <c r="N396" s="18"/>
    </row>
    <row r="397" spans="14:14" x14ac:dyDescent="0.2">
      <c r="N397" s="18"/>
    </row>
    <row r="398" spans="14:14" x14ac:dyDescent="0.2">
      <c r="N398" s="18"/>
    </row>
    <row r="399" spans="14:14" x14ac:dyDescent="0.2">
      <c r="N399" s="18"/>
    </row>
    <row r="400" spans="14:14" x14ac:dyDescent="0.2">
      <c r="N400" s="18"/>
    </row>
    <row r="401" spans="14:14" x14ac:dyDescent="0.2">
      <c r="N401" s="18"/>
    </row>
    <row r="402" spans="14:14" x14ac:dyDescent="0.2">
      <c r="N402" s="18"/>
    </row>
    <row r="403" spans="14:14" x14ac:dyDescent="0.2">
      <c r="N403" s="18"/>
    </row>
    <row r="404" spans="14:14" x14ac:dyDescent="0.2">
      <c r="N404" s="18"/>
    </row>
    <row r="405" spans="14:14" x14ac:dyDescent="0.2">
      <c r="N405" s="18"/>
    </row>
    <row r="406" spans="14:14" x14ac:dyDescent="0.2">
      <c r="N406" s="18"/>
    </row>
    <row r="407" spans="14:14" x14ac:dyDescent="0.2">
      <c r="N407" s="18"/>
    </row>
    <row r="408" spans="14:14" x14ac:dyDescent="0.2">
      <c r="N408" s="18"/>
    </row>
    <row r="409" spans="14:14" x14ac:dyDescent="0.2">
      <c r="N409" s="18"/>
    </row>
    <row r="410" spans="14:14" x14ac:dyDescent="0.2">
      <c r="N410" s="18"/>
    </row>
    <row r="411" spans="14:14" x14ac:dyDescent="0.2">
      <c r="N411" s="18"/>
    </row>
    <row r="412" spans="14:14" x14ac:dyDescent="0.2">
      <c r="N412" s="18"/>
    </row>
    <row r="413" spans="14:14" x14ac:dyDescent="0.2">
      <c r="N413" s="18"/>
    </row>
    <row r="414" spans="14:14" x14ac:dyDescent="0.2">
      <c r="N414" s="18"/>
    </row>
    <row r="415" spans="14:14" x14ac:dyDescent="0.2">
      <c r="N415" s="18"/>
    </row>
    <row r="416" spans="14:14" x14ac:dyDescent="0.2">
      <c r="N416" s="18"/>
    </row>
    <row r="417" spans="14:14" x14ac:dyDescent="0.2">
      <c r="N417" s="18"/>
    </row>
    <row r="418" spans="14:14" x14ac:dyDescent="0.2">
      <c r="N418" s="18"/>
    </row>
    <row r="419" spans="14:14" x14ac:dyDescent="0.2">
      <c r="N419" s="18"/>
    </row>
    <row r="420" spans="14:14" x14ac:dyDescent="0.2">
      <c r="N420" s="18"/>
    </row>
    <row r="421" spans="14:14" x14ac:dyDescent="0.2">
      <c r="N421" s="18"/>
    </row>
    <row r="422" spans="14:14" x14ac:dyDescent="0.2">
      <c r="N422" s="18"/>
    </row>
    <row r="423" spans="14:14" x14ac:dyDescent="0.2">
      <c r="N423" s="18"/>
    </row>
    <row r="424" spans="14:14" x14ac:dyDescent="0.2">
      <c r="N424" s="18"/>
    </row>
    <row r="425" spans="14:14" x14ac:dyDescent="0.2">
      <c r="N425" s="18"/>
    </row>
    <row r="426" spans="14:14" x14ac:dyDescent="0.2">
      <c r="N426" s="18"/>
    </row>
    <row r="427" spans="14:14" x14ac:dyDescent="0.2">
      <c r="N427" s="18"/>
    </row>
    <row r="428" spans="14:14" x14ac:dyDescent="0.2">
      <c r="N428" s="18"/>
    </row>
    <row r="429" spans="14:14" x14ac:dyDescent="0.2">
      <c r="N429" s="18"/>
    </row>
    <row r="430" spans="14:14" x14ac:dyDescent="0.2">
      <c r="N430" s="18"/>
    </row>
    <row r="431" spans="14:14" x14ac:dyDescent="0.2">
      <c r="N431" s="18"/>
    </row>
    <row r="432" spans="14:14" x14ac:dyDescent="0.2">
      <c r="N432" s="18"/>
    </row>
    <row r="433" spans="14:14" x14ac:dyDescent="0.2">
      <c r="N433" s="18"/>
    </row>
    <row r="434" spans="14:14" x14ac:dyDescent="0.2">
      <c r="N434" s="18"/>
    </row>
    <row r="435" spans="14:14" x14ac:dyDescent="0.2">
      <c r="N435" s="18"/>
    </row>
    <row r="436" spans="14:14" x14ac:dyDescent="0.2">
      <c r="N436" s="18"/>
    </row>
    <row r="437" spans="14:14" x14ac:dyDescent="0.2">
      <c r="N437" s="18"/>
    </row>
    <row r="438" spans="14:14" x14ac:dyDescent="0.2">
      <c r="N438" s="18"/>
    </row>
    <row r="439" spans="14:14" x14ac:dyDescent="0.2">
      <c r="N439" s="18"/>
    </row>
    <row r="440" spans="14:14" x14ac:dyDescent="0.2">
      <c r="N440" s="18"/>
    </row>
    <row r="441" spans="14:14" x14ac:dyDescent="0.2">
      <c r="N441" s="18"/>
    </row>
    <row r="442" spans="14:14" x14ac:dyDescent="0.2">
      <c r="N442" s="18"/>
    </row>
    <row r="443" spans="14:14" x14ac:dyDescent="0.2">
      <c r="N443" s="18"/>
    </row>
    <row r="444" spans="14:14" x14ac:dyDescent="0.2">
      <c r="N444" s="18"/>
    </row>
    <row r="445" spans="14:14" x14ac:dyDescent="0.2">
      <c r="N445" s="18"/>
    </row>
    <row r="446" spans="14:14" x14ac:dyDescent="0.2">
      <c r="N446" s="18"/>
    </row>
    <row r="447" spans="14:14" x14ac:dyDescent="0.2">
      <c r="N447" s="18"/>
    </row>
    <row r="448" spans="14:14" x14ac:dyDescent="0.2">
      <c r="N448" s="18"/>
    </row>
    <row r="449" spans="14:14" x14ac:dyDescent="0.2">
      <c r="N449" s="18"/>
    </row>
    <row r="450" spans="14:14" x14ac:dyDescent="0.2">
      <c r="N450" s="18"/>
    </row>
    <row r="451" spans="14:14" x14ac:dyDescent="0.2">
      <c r="N451" s="18"/>
    </row>
    <row r="452" spans="14:14" x14ac:dyDescent="0.2">
      <c r="N452" s="18"/>
    </row>
    <row r="453" spans="14:14" x14ac:dyDescent="0.2">
      <c r="N453" s="18"/>
    </row>
    <row r="454" spans="14:14" x14ac:dyDescent="0.2">
      <c r="N454" s="18"/>
    </row>
    <row r="455" spans="14:14" x14ac:dyDescent="0.2">
      <c r="N455" s="18"/>
    </row>
    <row r="456" spans="14:14" x14ac:dyDescent="0.2">
      <c r="N456" s="18"/>
    </row>
    <row r="457" spans="14:14" x14ac:dyDescent="0.2">
      <c r="N457" s="18"/>
    </row>
    <row r="458" spans="14:14" x14ac:dyDescent="0.2">
      <c r="N458" s="18"/>
    </row>
    <row r="459" spans="14:14" x14ac:dyDescent="0.2">
      <c r="N459" s="18"/>
    </row>
    <row r="460" spans="14:14" x14ac:dyDescent="0.2">
      <c r="N460" s="18"/>
    </row>
    <row r="461" spans="14:14" x14ac:dyDescent="0.2">
      <c r="N461" s="18"/>
    </row>
    <row r="462" spans="14:14" x14ac:dyDescent="0.2">
      <c r="N462" s="18"/>
    </row>
    <row r="463" spans="14:14" x14ac:dyDescent="0.2">
      <c r="N463" s="18"/>
    </row>
    <row r="464" spans="14:14" x14ac:dyDescent="0.2">
      <c r="N464" s="18"/>
    </row>
    <row r="465" spans="14:14" x14ac:dyDescent="0.2">
      <c r="N465" s="18"/>
    </row>
    <row r="466" spans="14:14" x14ac:dyDescent="0.2">
      <c r="N466" s="18"/>
    </row>
    <row r="467" spans="14:14" x14ac:dyDescent="0.2">
      <c r="N467" s="18"/>
    </row>
    <row r="468" spans="14:14" x14ac:dyDescent="0.2">
      <c r="N468" s="18"/>
    </row>
    <row r="469" spans="14:14" x14ac:dyDescent="0.2">
      <c r="N469" s="18"/>
    </row>
    <row r="470" spans="14:14" x14ac:dyDescent="0.2">
      <c r="N470" s="18"/>
    </row>
    <row r="471" spans="14:14" x14ac:dyDescent="0.2">
      <c r="N471" s="18"/>
    </row>
    <row r="472" spans="14:14" x14ac:dyDescent="0.2">
      <c r="N472" s="18"/>
    </row>
    <row r="473" spans="14:14" x14ac:dyDescent="0.2">
      <c r="N473" s="18"/>
    </row>
    <row r="474" spans="14:14" x14ac:dyDescent="0.2">
      <c r="N474" s="18"/>
    </row>
    <row r="475" spans="14:14" x14ac:dyDescent="0.2">
      <c r="N475" s="18"/>
    </row>
    <row r="476" spans="14:14" x14ac:dyDescent="0.2">
      <c r="N476" s="18"/>
    </row>
    <row r="477" spans="14:14" x14ac:dyDescent="0.2">
      <c r="N477" s="18"/>
    </row>
    <row r="478" spans="14:14" x14ac:dyDescent="0.2">
      <c r="N478" s="18"/>
    </row>
    <row r="479" spans="14:14" x14ac:dyDescent="0.2">
      <c r="N479" s="18"/>
    </row>
    <row r="480" spans="14:14" x14ac:dyDescent="0.2">
      <c r="N480" s="18"/>
    </row>
    <row r="481" spans="14:14" x14ac:dyDescent="0.2">
      <c r="N481" s="18"/>
    </row>
    <row r="482" spans="14:14" x14ac:dyDescent="0.2">
      <c r="N482" s="18"/>
    </row>
    <row r="483" spans="14:14" x14ac:dyDescent="0.2">
      <c r="N483" s="18"/>
    </row>
    <row r="484" spans="14:14" x14ac:dyDescent="0.2">
      <c r="N484" s="18"/>
    </row>
    <row r="485" spans="14:14" x14ac:dyDescent="0.2">
      <c r="N485" s="18"/>
    </row>
    <row r="486" spans="14:14" x14ac:dyDescent="0.2">
      <c r="N486" s="18"/>
    </row>
    <row r="487" spans="14:14" x14ac:dyDescent="0.2">
      <c r="N487" s="18"/>
    </row>
    <row r="488" spans="14:14" x14ac:dyDescent="0.2">
      <c r="N488" s="18"/>
    </row>
    <row r="489" spans="14:14" x14ac:dyDescent="0.2">
      <c r="N489" s="18"/>
    </row>
    <row r="490" spans="14:14" x14ac:dyDescent="0.2">
      <c r="N490" s="18"/>
    </row>
    <row r="491" spans="14:14" x14ac:dyDescent="0.2">
      <c r="N491" s="18"/>
    </row>
    <row r="492" spans="14:14" x14ac:dyDescent="0.2">
      <c r="N492" s="18"/>
    </row>
    <row r="493" spans="14:14" x14ac:dyDescent="0.2">
      <c r="N493" s="18"/>
    </row>
    <row r="494" spans="14:14" x14ac:dyDescent="0.2">
      <c r="N494" s="18"/>
    </row>
    <row r="495" spans="14:14" x14ac:dyDescent="0.2">
      <c r="N495" s="18"/>
    </row>
    <row r="496" spans="14:14" x14ac:dyDescent="0.2">
      <c r="N496" s="18"/>
    </row>
    <row r="497" spans="14:14" x14ac:dyDescent="0.2">
      <c r="N497" s="18"/>
    </row>
    <row r="498" spans="14:14" x14ac:dyDescent="0.2">
      <c r="N498" s="18"/>
    </row>
    <row r="499" spans="14:14" x14ac:dyDescent="0.2">
      <c r="N499" s="18"/>
    </row>
    <row r="500" spans="14:14" x14ac:dyDescent="0.2">
      <c r="N500" s="18"/>
    </row>
    <row r="501" spans="14:14" x14ac:dyDescent="0.2">
      <c r="N501" s="18"/>
    </row>
    <row r="502" spans="14:14" x14ac:dyDescent="0.2">
      <c r="N502" s="18"/>
    </row>
    <row r="503" spans="14:14" x14ac:dyDescent="0.2">
      <c r="N503" s="18"/>
    </row>
    <row r="504" spans="14:14" x14ac:dyDescent="0.2">
      <c r="N504" s="18"/>
    </row>
    <row r="505" spans="14:14" x14ac:dyDescent="0.2">
      <c r="N505" s="18"/>
    </row>
    <row r="506" spans="14:14" x14ac:dyDescent="0.2">
      <c r="N506" s="18"/>
    </row>
    <row r="507" spans="14:14" x14ac:dyDescent="0.2">
      <c r="N507" s="18"/>
    </row>
    <row r="508" spans="14:14" x14ac:dyDescent="0.2">
      <c r="N508" s="18"/>
    </row>
    <row r="509" spans="14:14" x14ac:dyDescent="0.2">
      <c r="N509" s="18"/>
    </row>
    <row r="510" spans="14:14" x14ac:dyDescent="0.2">
      <c r="N510" s="18"/>
    </row>
    <row r="511" spans="14:14" x14ac:dyDescent="0.2">
      <c r="N511" s="18"/>
    </row>
    <row r="512" spans="14:14" x14ac:dyDescent="0.2">
      <c r="N512" s="18"/>
    </row>
    <row r="513" spans="14:14" x14ac:dyDescent="0.2">
      <c r="N513" s="18"/>
    </row>
    <row r="514" spans="14:14" x14ac:dyDescent="0.2">
      <c r="N514" s="18"/>
    </row>
    <row r="515" spans="14:14" x14ac:dyDescent="0.2">
      <c r="N515" s="18"/>
    </row>
    <row r="516" spans="14:14" x14ac:dyDescent="0.2">
      <c r="N516" s="18"/>
    </row>
    <row r="517" spans="14:14" x14ac:dyDescent="0.2">
      <c r="N517" s="18"/>
    </row>
    <row r="518" spans="14:14" x14ac:dyDescent="0.2">
      <c r="N518" s="18"/>
    </row>
    <row r="519" spans="14:14" x14ac:dyDescent="0.2">
      <c r="N519" s="18"/>
    </row>
    <row r="520" spans="14:14" x14ac:dyDescent="0.2">
      <c r="N520" s="18"/>
    </row>
    <row r="521" spans="14:14" x14ac:dyDescent="0.2">
      <c r="N521" s="18"/>
    </row>
    <row r="522" spans="14:14" x14ac:dyDescent="0.2">
      <c r="N522" s="18"/>
    </row>
    <row r="523" spans="14:14" x14ac:dyDescent="0.2">
      <c r="N523" s="18"/>
    </row>
    <row r="524" spans="14:14" x14ac:dyDescent="0.2">
      <c r="N524" s="18"/>
    </row>
    <row r="525" spans="14:14" x14ac:dyDescent="0.2">
      <c r="N525" s="18"/>
    </row>
    <row r="526" spans="14:14" x14ac:dyDescent="0.2">
      <c r="N526" s="18"/>
    </row>
    <row r="527" spans="14:14" x14ac:dyDescent="0.2">
      <c r="N527" s="18"/>
    </row>
    <row r="528" spans="14:14" x14ac:dyDescent="0.2">
      <c r="N528" s="18"/>
    </row>
    <row r="529" spans="14:14" x14ac:dyDescent="0.2">
      <c r="N529" s="18"/>
    </row>
    <row r="530" spans="14:14" x14ac:dyDescent="0.2">
      <c r="N530" s="18"/>
    </row>
    <row r="531" spans="14:14" x14ac:dyDescent="0.2">
      <c r="N531" s="18"/>
    </row>
    <row r="532" spans="14:14" x14ac:dyDescent="0.2">
      <c r="N532" s="18"/>
    </row>
    <row r="533" spans="14:14" x14ac:dyDescent="0.2">
      <c r="N533" s="18"/>
    </row>
    <row r="534" spans="14:14" x14ac:dyDescent="0.2">
      <c r="N534" s="18"/>
    </row>
    <row r="535" spans="14:14" x14ac:dyDescent="0.2">
      <c r="N535" s="18"/>
    </row>
    <row r="536" spans="14:14" x14ac:dyDescent="0.2">
      <c r="N536" s="18"/>
    </row>
    <row r="537" spans="14:14" x14ac:dyDescent="0.2">
      <c r="N537" s="18"/>
    </row>
    <row r="538" spans="14:14" x14ac:dyDescent="0.2">
      <c r="N538" s="18"/>
    </row>
    <row r="539" spans="14:14" x14ac:dyDescent="0.2">
      <c r="N539" s="18"/>
    </row>
    <row r="540" spans="14:14" x14ac:dyDescent="0.2">
      <c r="N540" s="18"/>
    </row>
    <row r="541" spans="14:14" x14ac:dyDescent="0.2">
      <c r="N541" s="18"/>
    </row>
    <row r="542" spans="14:14" x14ac:dyDescent="0.2">
      <c r="N542" s="18"/>
    </row>
    <row r="543" spans="14:14" x14ac:dyDescent="0.2">
      <c r="N543" s="18"/>
    </row>
    <row r="544" spans="14:14" x14ac:dyDescent="0.2">
      <c r="N544" s="18"/>
    </row>
    <row r="545" spans="14:14" x14ac:dyDescent="0.2">
      <c r="N545" s="18"/>
    </row>
    <row r="546" spans="14:14" x14ac:dyDescent="0.2">
      <c r="N546" s="18"/>
    </row>
    <row r="547" spans="14:14" x14ac:dyDescent="0.2">
      <c r="N547" s="18"/>
    </row>
    <row r="548" spans="14:14" x14ac:dyDescent="0.2">
      <c r="N548" s="18"/>
    </row>
    <row r="549" spans="14:14" x14ac:dyDescent="0.2">
      <c r="N549" s="18"/>
    </row>
    <row r="550" spans="14:14" x14ac:dyDescent="0.2">
      <c r="N550" s="18"/>
    </row>
    <row r="551" spans="14:14" x14ac:dyDescent="0.2">
      <c r="N551" s="18"/>
    </row>
    <row r="552" spans="14:14" x14ac:dyDescent="0.2">
      <c r="N552" s="18"/>
    </row>
    <row r="553" spans="14:14" x14ac:dyDescent="0.2">
      <c r="N553" s="18"/>
    </row>
    <row r="554" spans="14:14" x14ac:dyDescent="0.2">
      <c r="N554" s="18"/>
    </row>
    <row r="555" spans="14:14" x14ac:dyDescent="0.2">
      <c r="N555" s="18"/>
    </row>
    <row r="556" spans="14:14" x14ac:dyDescent="0.2">
      <c r="N556" s="18"/>
    </row>
    <row r="557" spans="14:14" x14ac:dyDescent="0.2">
      <c r="N557" s="18"/>
    </row>
    <row r="558" spans="14:14" x14ac:dyDescent="0.2">
      <c r="N558" s="18"/>
    </row>
    <row r="559" spans="14:14" x14ac:dyDescent="0.2">
      <c r="N559" s="18"/>
    </row>
    <row r="560" spans="14:14" x14ac:dyDescent="0.2">
      <c r="N560" s="18"/>
    </row>
    <row r="561" spans="14:14" x14ac:dyDescent="0.2">
      <c r="N561" s="18"/>
    </row>
    <row r="562" spans="14:14" x14ac:dyDescent="0.2">
      <c r="N562" s="18"/>
    </row>
    <row r="563" spans="14:14" x14ac:dyDescent="0.2">
      <c r="N563" s="18"/>
    </row>
    <row r="564" spans="14:14" x14ac:dyDescent="0.2">
      <c r="N564" s="18"/>
    </row>
    <row r="565" spans="14:14" x14ac:dyDescent="0.2">
      <c r="N565" s="18"/>
    </row>
    <row r="566" spans="14:14" x14ac:dyDescent="0.2">
      <c r="N566" s="18"/>
    </row>
    <row r="567" spans="14:14" x14ac:dyDescent="0.2">
      <c r="N567" s="18"/>
    </row>
    <row r="568" spans="14:14" x14ac:dyDescent="0.2">
      <c r="N568" s="18"/>
    </row>
    <row r="569" spans="14:14" x14ac:dyDescent="0.2">
      <c r="N569" s="18"/>
    </row>
    <row r="570" spans="14:14" x14ac:dyDescent="0.2">
      <c r="N570" s="18"/>
    </row>
    <row r="571" spans="14:14" x14ac:dyDescent="0.2">
      <c r="N571" s="18"/>
    </row>
    <row r="572" spans="14:14" x14ac:dyDescent="0.2">
      <c r="N572" s="18"/>
    </row>
    <row r="573" spans="14:14" x14ac:dyDescent="0.2">
      <c r="N573" s="18"/>
    </row>
    <row r="574" spans="14:14" x14ac:dyDescent="0.2">
      <c r="N574" s="18"/>
    </row>
    <row r="575" spans="14:14" x14ac:dyDescent="0.2">
      <c r="N575" s="18"/>
    </row>
    <row r="576" spans="14:14" x14ac:dyDescent="0.2">
      <c r="N576" s="18"/>
    </row>
    <row r="577" spans="14:14" x14ac:dyDescent="0.2">
      <c r="N577" s="18"/>
    </row>
    <row r="578" spans="14:14" x14ac:dyDescent="0.2">
      <c r="N578" s="18"/>
    </row>
    <row r="579" spans="14:14" x14ac:dyDescent="0.2">
      <c r="N579" s="18"/>
    </row>
    <row r="580" spans="14:14" x14ac:dyDescent="0.2">
      <c r="N580" s="18"/>
    </row>
    <row r="581" spans="14:14" x14ac:dyDescent="0.2">
      <c r="N581" s="18"/>
    </row>
    <row r="582" spans="14:14" x14ac:dyDescent="0.2">
      <c r="N582" s="18"/>
    </row>
    <row r="583" spans="14:14" x14ac:dyDescent="0.2">
      <c r="N583" s="18"/>
    </row>
    <row r="584" spans="14:14" x14ac:dyDescent="0.2">
      <c r="N584" s="18"/>
    </row>
    <row r="585" spans="14:14" x14ac:dyDescent="0.2">
      <c r="N585" s="18"/>
    </row>
    <row r="586" spans="14:14" x14ac:dyDescent="0.2">
      <c r="N586" s="18"/>
    </row>
    <row r="587" spans="14:14" x14ac:dyDescent="0.2">
      <c r="N587" s="18"/>
    </row>
    <row r="588" spans="14:14" x14ac:dyDescent="0.2">
      <c r="N588" s="18"/>
    </row>
    <row r="589" spans="14:14" x14ac:dyDescent="0.2">
      <c r="N589" s="18"/>
    </row>
    <row r="590" spans="14:14" x14ac:dyDescent="0.2">
      <c r="N590" s="18"/>
    </row>
    <row r="591" spans="14:14" x14ac:dyDescent="0.2">
      <c r="N591" s="18"/>
    </row>
    <row r="592" spans="14:14" x14ac:dyDescent="0.2">
      <c r="N592" s="18"/>
    </row>
    <row r="593" spans="14:14" x14ac:dyDescent="0.2">
      <c r="N593" s="18"/>
    </row>
    <row r="594" spans="14:14" x14ac:dyDescent="0.2">
      <c r="N594" s="18"/>
    </row>
    <row r="595" spans="14:14" x14ac:dyDescent="0.2">
      <c r="N595" s="18"/>
    </row>
    <row r="596" spans="14:14" x14ac:dyDescent="0.2">
      <c r="N596" s="18"/>
    </row>
    <row r="597" spans="14:14" x14ac:dyDescent="0.2">
      <c r="N597" s="18"/>
    </row>
    <row r="598" spans="14:14" x14ac:dyDescent="0.2">
      <c r="N598" s="18"/>
    </row>
    <row r="599" spans="14:14" x14ac:dyDescent="0.2">
      <c r="N599" s="18"/>
    </row>
    <row r="600" spans="14:14" x14ac:dyDescent="0.2">
      <c r="N600" s="18"/>
    </row>
    <row r="601" spans="14:14" x14ac:dyDescent="0.2">
      <c r="N601" s="18"/>
    </row>
    <row r="602" spans="14:14" x14ac:dyDescent="0.2">
      <c r="N602" s="18"/>
    </row>
    <row r="603" spans="14:14" x14ac:dyDescent="0.2">
      <c r="N603" s="18"/>
    </row>
    <row r="604" spans="14:14" x14ac:dyDescent="0.2">
      <c r="N604" s="18"/>
    </row>
    <row r="605" spans="14:14" x14ac:dyDescent="0.2">
      <c r="N605" s="18"/>
    </row>
    <row r="606" spans="14:14" x14ac:dyDescent="0.2">
      <c r="N606" s="18"/>
    </row>
    <row r="607" spans="14:14" x14ac:dyDescent="0.2">
      <c r="N607" s="18"/>
    </row>
    <row r="608" spans="14:14" x14ac:dyDescent="0.2">
      <c r="N608" s="18"/>
    </row>
    <row r="609" spans="14:14" x14ac:dyDescent="0.2">
      <c r="N609" s="18"/>
    </row>
    <row r="610" spans="14:14" x14ac:dyDescent="0.2">
      <c r="N610" s="18"/>
    </row>
    <row r="611" spans="14:14" x14ac:dyDescent="0.2">
      <c r="N611" s="18"/>
    </row>
    <row r="612" spans="14:14" x14ac:dyDescent="0.2">
      <c r="N612" s="18"/>
    </row>
    <row r="613" spans="14:14" x14ac:dyDescent="0.2">
      <c r="N613" s="18"/>
    </row>
    <row r="614" spans="14:14" x14ac:dyDescent="0.2">
      <c r="N614" s="18"/>
    </row>
    <row r="615" spans="14:14" x14ac:dyDescent="0.2">
      <c r="N615" s="18"/>
    </row>
    <row r="616" spans="14:14" x14ac:dyDescent="0.2">
      <c r="N616" s="18"/>
    </row>
    <row r="617" spans="14:14" x14ac:dyDescent="0.2">
      <c r="N617" s="18"/>
    </row>
    <row r="618" spans="14:14" x14ac:dyDescent="0.2">
      <c r="N618" s="18"/>
    </row>
    <row r="619" spans="14:14" x14ac:dyDescent="0.2">
      <c r="N619" s="18"/>
    </row>
    <row r="620" spans="14:14" x14ac:dyDescent="0.2">
      <c r="N620" s="18"/>
    </row>
    <row r="621" spans="14:14" x14ac:dyDescent="0.2">
      <c r="N621" s="18"/>
    </row>
    <row r="622" spans="14:14" x14ac:dyDescent="0.2">
      <c r="N622" s="18"/>
    </row>
    <row r="623" spans="14:14" x14ac:dyDescent="0.2">
      <c r="N623" s="18"/>
    </row>
    <row r="624" spans="14:14" x14ac:dyDescent="0.2">
      <c r="N624" s="18"/>
    </row>
    <row r="625" spans="14:14" x14ac:dyDescent="0.2">
      <c r="N625" s="18"/>
    </row>
    <row r="626" spans="14:14" x14ac:dyDescent="0.2">
      <c r="N626" s="18"/>
    </row>
    <row r="627" spans="14:14" x14ac:dyDescent="0.2">
      <c r="N627" s="18"/>
    </row>
    <row r="628" spans="14:14" x14ac:dyDescent="0.2">
      <c r="N628" s="18"/>
    </row>
    <row r="629" spans="14:14" x14ac:dyDescent="0.2">
      <c r="N629" s="18"/>
    </row>
    <row r="630" spans="14:14" x14ac:dyDescent="0.2">
      <c r="N630" s="18"/>
    </row>
    <row r="631" spans="14:14" x14ac:dyDescent="0.2">
      <c r="N631" s="18"/>
    </row>
    <row r="632" spans="14:14" x14ac:dyDescent="0.2">
      <c r="N632" s="18"/>
    </row>
    <row r="633" spans="14:14" x14ac:dyDescent="0.2">
      <c r="N633" s="18"/>
    </row>
    <row r="634" spans="14:14" x14ac:dyDescent="0.2">
      <c r="N634" s="18"/>
    </row>
    <row r="635" spans="14:14" x14ac:dyDescent="0.2">
      <c r="N635" s="18"/>
    </row>
    <row r="636" spans="14:14" x14ac:dyDescent="0.2">
      <c r="N636" s="18"/>
    </row>
    <row r="637" spans="14:14" x14ac:dyDescent="0.2">
      <c r="N637" s="18"/>
    </row>
    <row r="638" spans="14:14" x14ac:dyDescent="0.2">
      <c r="N638" s="18"/>
    </row>
    <row r="639" spans="14:14" x14ac:dyDescent="0.2">
      <c r="N639" s="18"/>
    </row>
    <row r="640" spans="14:14" x14ac:dyDescent="0.2">
      <c r="N640" s="18"/>
    </row>
    <row r="641" spans="14:14" x14ac:dyDescent="0.2">
      <c r="N641" s="18"/>
    </row>
    <row r="642" spans="14:14" x14ac:dyDescent="0.2">
      <c r="N642" s="18"/>
    </row>
    <row r="643" spans="14:14" x14ac:dyDescent="0.2">
      <c r="N643" s="18"/>
    </row>
    <row r="644" spans="14:14" x14ac:dyDescent="0.2">
      <c r="N644" s="18"/>
    </row>
    <row r="645" spans="14:14" x14ac:dyDescent="0.2">
      <c r="N645" s="18"/>
    </row>
    <row r="646" spans="14:14" x14ac:dyDescent="0.2">
      <c r="N646" s="18"/>
    </row>
    <row r="647" spans="14:14" x14ac:dyDescent="0.2">
      <c r="N647" s="18"/>
    </row>
    <row r="648" spans="14:14" x14ac:dyDescent="0.2">
      <c r="N648" s="18"/>
    </row>
    <row r="649" spans="14:14" x14ac:dyDescent="0.2">
      <c r="N649" s="18"/>
    </row>
    <row r="650" spans="14:14" x14ac:dyDescent="0.2">
      <c r="N650" s="18"/>
    </row>
    <row r="651" spans="14:14" x14ac:dyDescent="0.2">
      <c r="N651" s="18"/>
    </row>
    <row r="652" spans="14:14" x14ac:dyDescent="0.2">
      <c r="N652" s="18"/>
    </row>
    <row r="653" spans="14:14" x14ac:dyDescent="0.2">
      <c r="N653" s="18"/>
    </row>
    <row r="654" spans="14:14" x14ac:dyDescent="0.2">
      <c r="N654" s="18"/>
    </row>
    <row r="655" spans="14:14" x14ac:dyDescent="0.2">
      <c r="N655" s="18"/>
    </row>
    <row r="656" spans="14:14" x14ac:dyDescent="0.2">
      <c r="N656" s="18"/>
    </row>
    <row r="657" spans="14:14" x14ac:dyDescent="0.2">
      <c r="N657" s="18"/>
    </row>
    <row r="658" spans="14:14" x14ac:dyDescent="0.2">
      <c r="N658" s="18"/>
    </row>
    <row r="659" spans="14:14" x14ac:dyDescent="0.2">
      <c r="N659" s="18"/>
    </row>
    <row r="660" spans="14:14" x14ac:dyDescent="0.2">
      <c r="N660" s="18"/>
    </row>
    <row r="661" spans="14:14" x14ac:dyDescent="0.2">
      <c r="N661" s="18"/>
    </row>
    <row r="662" spans="14:14" x14ac:dyDescent="0.2">
      <c r="N662" s="18"/>
    </row>
    <row r="663" spans="14:14" x14ac:dyDescent="0.2">
      <c r="N663" s="18"/>
    </row>
    <row r="664" spans="14:14" x14ac:dyDescent="0.2">
      <c r="N664" s="18"/>
    </row>
    <row r="665" spans="14:14" x14ac:dyDescent="0.2">
      <c r="N665" s="18"/>
    </row>
    <row r="666" spans="14:14" x14ac:dyDescent="0.2">
      <c r="N666" s="18"/>
    </row>
    <row r="667" spans="14:14" x14ac:dyDescent="0.2">
      <c r="N667" s="18"/>
    </row>
    <row r="668" spans="14:14" x14ac:dyDescent="0.2">
      <c r="N668" s="18"/>
    </row>
    <row r="669" spans="14:14" x14ac:dyDescent="0.2">
      <c r="N669" s="18"/>
    </row>
    <row r="670" spans="14:14" x14ac:dyDescent="0.2">
      <c r="N670" s="18"/>
    </row>
    <row r="671" spans="14:14" x14ac:dyDescent="0.2">
      <c r="N671" s="18"/>
    </row>
    <row r="672" spans="14:14" x14ac:dyDescent="0.2">
      <c r="N672" s="18"/>
    </row>
    <row r="673" spans="14:14" x14ac:dyDescent="0.2">
      <c r="N673" s="18"/>
    </row>
    <row r="674" spans="14:14" x14ac:dyDescent="0.2">
      <c r="N674" s="18"/>
    </row>
    <row r="675" spans="14:14" x14ac:dyDescent="0.2">
      <c r="N675" s="18"/>
    </row>
    <row r="676" spans="14:14" x14ac:dyDescent="0.2">
      <c r="N676" s="18"/>
    </row>
    <row r="677" spans="14:14" x14ac:dyDescent="0.2">
      <c r="N677" s="18"/>
    </row>
    <row r="678" spans="14:14" x14ac:dyDescent="0.2">
      <c r="N678" s="18"/>
    </row>
    <row r="679" spans="14:14" x14ac:dyDescent="0.2">
      <c r="N679" s="18"/>
    </row>
    <row r="680" spans="14:14" x14ac:dyDescent="0.2">
      <c r="N680" s="18"/>
    </row>
    <row r="681" spans="14:14" x14ac:dyDescent="0.2">
      <c r="N681" s="18"/>
    </row>
    <row r="682" spans="14:14" x14ac:dyDescent="0.2">
      <c r="N682" s="18"/>
    </row>
    <row r="683" spans="14:14" x14ac:dyDescent="0.2">
      <c r="N683" s="18"/>
    </row>
    <row r="684" spans="14:14" x14ac:dyDescent="0.2">
      <c r="N684" s="18"/>
    </row>
    <row r="685" spans="14:14" x14ac:dyDescent="0.2">
      <c r="N685" s="18"/>
    </row>
    <row r="686" spans="14:14" x14ac:dyDescent="0.2">
      <c r="N686" s="18"/>
    </row>
    <row r="687" spans="14:14" x14ac:dyDescent="0.2">
      <c r="N687" s="18"/>
    </row>
    <row r="688" spans="14:14" x14ac:dyDescent="0.2">
      <c r="N688" s="18"/>
    </row>
    <row r="689" spans="14:14" x14ac:dyDescent="0.2">
      <c r="N689" s="18"/>
    </row>
    <row r="690" spans="14:14" x14ac:dyDescent="0.2">
      <c r="N690" s="18"/>
    </row>
    <row r="691" spans="14:14" x14ac:dyDescent="0.2">
      <c r="N691" s="18"/>
    </row>
    <row r="692" spans="14:14" x14ac:dyDescent="0.2">
      <c r="N692" s="18"/>
    </row>
    <row r="693" spans="14:14" x14ac:dyDescent="0.2">
      <c r="N693" s="18"/>
    </row>
    <row r="694" spans="14:14" x14ac:dyDescent="0.2">
      <c r="N694" s="18"/>
    </row>
    <row r="695" spans="14:14" x14ac:dyDescent="0.2">
      <c r="N695" s="18"/>
    </row>
    <row r="696" spans="14:14" x14ac:dyDescent="0.2">
      <c r="N696" s="18"/>
    </row>
    <row r="697" spans="14:14" x14ac:dyDescent="0.2">
      <c r="N697" s="18"/>
    </row>
    <row r="698" spans="14:14" x14ac:dyDescent="0.2">
      <c r="N698" s="18"/>
    </row>
    <row r="699" spans="14:14" x14ac:dyDescent="0.2">
      <c r="N699" s="18"/>
    </row>
    <row r="700" spans="14:14" x14ac:dyDescent="0.2">
      <c r="N700" s="18"/>
    </row>
    <row r="701" spans="14:14" x14ac:dyDescent="0.2">
      <c r="N701" s="18"/>
    </row>
    <row r="702" spans="14:14" x14ac:dyDescent="0.2">
      <c r="N702" s="18"/>
    </row>
    <row r="703" spans="14:14" x14ac:dyDescent="0.2">
      <c r="N703" s="18"/>
    </row>
    <row r="704" spans="14:14" x14ac:dyDescent="0.2">
      <c r="N704" s="18"/>
    </row>
    <row r="705" spans="14:14" x14ac:dyDescent="0.2">
      <c r="N705" s="18"/>
    </row>
    <row r="706" spans="14:14" x14ac:dyDescent="0.2">
      <c r="N706" s="18"/>
    </row>
    <row r="707" spans="14:14" x14ac:dyDescent="0.2">
      <c r="N707" s="18"/>
    </row>
    <row r="708" spans="14:14" x14ac:dyDescent="0.2">
      <c r="N708" s="18"/>
    </row>
    <row r="709" spans="14:14" x14ac:dyDescent="0.2">
      <c r="N709" s="18"/>
    </row>
    <row r="710" spans="14:14" x14ac:dyDescent="0.2">
      <c r="N710" s="18"/>
    </row>
    <row r="711" spans="14:14" x14ac:dyDescent="0.2">
      <c r="N711" s="18"/>
    </row>
    <row r="712" spans="14:14" x14ac:dyDescent="0.2">
      <c r="N712" s="18"/>
    </row>
    <row r="713" spans="14:14" x14ac:dyDescent="0.2">
      <c r="N713" s="18"/>
    </row>
    <row r="714" spans="14:14" x14ac:dyDescent="0.2">
      <c r="N714" s="18"/>
    </row>
    <row r="715" spans="14:14" x14ac:dyDescent="0.2">
      <c r="N715" s="18"/>
    </row>
    <row r="716" spans="14:14" x14ac:dyDescent="0.2">
      <c r="N716" s="18"/>
    </row>
    <row r="717" spans="14:14" x14ac:dyDescent="0.2">
      <c r="N717" s="18"/>
    </row>
    <row r="718" spans="14:14" x14ac:dyDescent="0.2">
      <c r="N718" s="18"/>
    </row>
    <row r="719" spans="14:14" x14ac:dyDescent="0.2">
      <c r="N719" s="18"/>
    </row>
    <row r="720" spans="14:14" x14ac:dyDescent="0.2">
      <c r="N720" s="18"/>
    </row>
    <row r="721" spans="14:14" x14ac:dyDescent="0.2">
      <c r="N721" s="18"/>
    </row>
    <row r="722" spans="14:14" x14ac:dyDescent="0.2">
      <c r="N722" s="18"/>
    </row>
    <row r="723" spans="14:14" x14ac:dyDescent="0.2">
      <c r="N723" s="18"/>
    </row>
    <row r="724" spans="14:14" x14ac:dyDescent="0.2">
      <c r="N724" s="18"/>
    </row>
    <row r="725" spans="14:14" x14ac:dyDescent="0.2">
      <c r="N725" s="18"/>
    </row>
    <row r="726" spans="14:14" x14ac:dyDescent="0.2">
      <c r="N726" s="18"/>
    </row>
    <row r="727" spans="14:14" x14ac:dyDescent="0.2">
      <c r="N727" s="18"/>
    </row>
    <row r="728" spans="14:14" x14ac:dyDescent="0.2">
      <c r="N728" s="18"/>
    </row>
    <row r="729" spans="14:14" x14ac:dyDescent="0.2">
      <c r="N729" s="18"/>
    </row>
    <row r="730" spans="14:14" x14ac:dyDescent="0.2">
      <c r="N730" s="18"/>
    </row>
    <row r="731" spans="14:14" x14ac:dyDescent="0.2">
      <c r="N731" s="18"/>
    </row>
    <row r="732" spans="14:14" x14ac:dyDescent="0.2">
      <c r="N732" s="18"/>
    </row>
    <row r="733" spans="14:14" x14ac:dyDescent="0.2">
      <c r="N733" s="18"/>
    </row>
    <row r="734" spans="14:14" x14ac:dyDescent="0.2">
      <c r="N734" s="18"/>
    </row>
    <row r="735" spans="14:14" x14ac:dyDescent="0.2">
      <c r="N735" s="18"/>
    </row>
    <row r="736" spans="14:14" x14ac:dyDescent="0.2">
      <c r="N736" s="18"/>
    </row>
    <row r="737" spans="14:14" x14ac:dyDescent="0.2">
      <c r="N737" s="18"/>
    </row>
    <row r="738" spans="14:14" x14ac:dyDescent="0.2">
      <c r="N738" s="18"/>
    </row>
    <row r="739" spans="14:14" x14ac:dyDescent="0.2">
      <c r="N739" s="18"/>
    </row>
    <row r="740" spans="14:14" x14ac:dyDescent="0.2">
      <c r="N740" s="18"/>
    </row>
    <row r="741" spans="14:14" x14ac:dyDescent="0.2">
      <c r="N741" s="18"/>
    </row>
    <row r="742" spans="14:14" x14ac:dyDescent="0.2">
      <c r="N742" s="18"/>
    </row>
    <row r="743" spans="14:14" x14ac:dyDescent="0.2">
      <c r="N743" s="18"/>
    </row>
    <row r="744" spans="14:14" x14ac:dyDescent="0.2">
      <c r="N744" s="18"/>
    </row>
    <row r="745" spans="14:14" x14ac:dyDescent="0.2">
      <c r="N745" s="18"/>
    </row>
    <row r="746" spans="14:14" x14ac:dyDescent="0.2">
      <c r="N746" s="18"/>
    </row>
    <row r="747" spans="14:14" x14ac:dyDescent="0.2">
      <c r="N747" s="18"/>
    </row>
    <row r="748" spans="14:14" x14ac:dyDescent="0.2">
      <c r="N748" s="18"/>
    </row>
    <row r="749" spans="14:14" x14ac:dyDescent="0.2">
      <c r="N749" s="18"/>
    </row>
    <row r="750" spans="14:14" x14ac:dyDescent="0.2">
      <c r="N750" s="18"/>
    </row>
    <row r="751" spans="14:14" x14ac:dyDescent="0.2">
      <c r="N751" s="18"/>
    </row>
    <row r="752" spans="14:14" x14ac:dyDescent="0.2">
      <c r="N752" s="18"/>
    </row>
    <row r="753" spans="14:14" x14ac:dyDescent="0.2">
      <c r="N753" s="18"/>
    </row>
    <row r="754" spans="14:14" x14ac:dyDescent="0.2">
      <c r="N754" s="18"/>
    </row>
    <row r="755" spans="14:14" x14ac:dyDescent="0.2">
      <c r="N755" s="18"/>
    </row>
    <row r="756" spans="14:14" x14ac:dyDescent="0.2">
      <c r="N756" s="18"/>
    </row>
    <row r="757" spans="14:14" x14ac:dyDescent="0.2">
      <c r="N757" s="18"/>
    </row>
    <row r="758" spans="14:14" x14ac:dyDescent="0.2">
      <c r="N758" s="18"/>
    </row>
    <row r="759" spans="14:14" x14ac:dyDescent="0.2">
      <c r="N759" s="18"/>
    </row>
    <row r="760" spans="14:14" x14ac:dyDescent="0.2">
      <c r="N760" s="18"/>
    </row>
    <row r="761" spans="14:14" x14ac:dyDescent="0.2">
      <c r="N761" s="18"/>
    </row>
    <row r="762" spans="14:14" x14ac:dyDescent="0.2">
      <c r="N762" s="18"/>
    </row>
    <row r="763" spans="14:14" x14ac:dyDescent="0.2">
      <c r="N763" s="18"/>
    </row>
    <row r="764" spans="14:14" x14ac:dyDescent="0.2">
      <c r="N764" s="18"/>
    </row>
    <row r="765" spans="14:14" x14ac:dyDescent="0.2">
      <c r="N765" s="18"/>
    </row>
    <row r="766" spans="14:14" x14ac:dyDescent="0.2">
      <c r="N766" s="18"/>
    </row>
    <row r="767" spans="14:14" x14ac:dyDescent="0.2">
      <c r="N767" s="18"/>
    </row>
    <row r="768" spans="14:14" x14ac:dyDescent="0.2">
      <c r="N768" s="18"/>
    </row>
    <row r="769" spans="14:14" x14ac:dyDescent="0.2">
      <c r="N769" s="18"/>
    </row>
    <row r="770" spans="14:14" x14ac:dyDescent="0.2">
      <c r="N770" s="18"/>
    </row>
    <row r="771" spans="14:14" x14ac:dyDescent="0.2">
      <c r="N771" s="18"/>
    </row>
    <row r="772" spans="14:14" x14ac:dyDescent="0.2">
      <c r="N772" s="18"/>
    </row>
    <row r="773" spans="14:14" x14ac:dyDescent="0.2">
      <c r="N773" s="18"/>
    </row>
    <row r="774" spans="14:14" x14ac:dyDescent="0.2">
      <c r="N774" s="18"/>
    </row>
    <row r="775" spans="14:14" x14ac:dyDescent="0.2">
      <c r="N775" s="18"/>
    </row>
    <row r="776" spans="14:14" x14ac:dyDescent="0.2">
      <c r="N776" s="18"/>
    </row>
    <row r="777" spans="14:14" x14ac:dyDescent="0.2">
      <c r="N777" s="18"/>
    </row>
    <row r="778" spans="14:14" x14ac:dyDescent="0.2">
      <c r="N778" s="18"/>
    </row>
    <row r="779" spans="14:14" x14ac:dyDescent="0.2">
      <c r="N779" s="18"/>
    </row>
    <row r="780" spans="14:14" x14ac:dyDescent="0.2">
      <c r="N780" s="18"/>
    </row>
    <row r="781" spans="14:14" x14ac:dyDescent="0.2">
      <c r="N781" s="18"/>
    </row>
    <row r="782" spans="14:14" x14ac:dyDescent="0.2">
      <c r="N782" s="18"/>
    </row>
    <row r="783" spans="14:14" x14ac:dyDescent="0.2">
      <c r="N783" s="18"/>
    </row>
    <row r="784" spans="14:14" x14ac:dyDescent="0.2">
      <c r="N784" s="18"/>
    </row>
    <row r="785" spans="14:14" x14ac:dyDescent="0.2">
      <c r="N785" s="18"/>
    </row>
    <row r="786" spans="14:14" x14ac:dyDescent="0.2">
      <c r="N786" s="18"/>
    </row>
    <row r="787" spans="14:14" x14ac:dyDescent="0.2">
      <c r="N787" s="18"/>
    </row>
    <row r="788" spans="14:14" x14ac:dyDescent="0.2">
      <c r="N788" s="18"/>
    </row>
    <row r="789" spans="14:14" x14ac:dyDescent="0.2">
      <c r="N789" s="18"/>
    </row>
    <row r="790" spans="14:14" x14ac:dyDescent="0.2">
      <c r="N790" s="18"/>
    </row>
    <row r="791" spans="14:14" x14ac:dyDescent="0.2">
      <c r="N791" s="18"/>
    </row>
    <row r="792" spans="14:14" x14ac:dyDescent="0.2">
      <c r="N792" s="18"/>
    </row>
    <row r="793" spans="14:14" x14ac:dyDescent="0.2">
      <c r="N793" s="18"/>
    </row>
    <row r="794" spans="14:14" x14ac:dyDescent="0.2">
      <c r="N794" s="18"/>
    </row>
    <row r="795" spans="14:14" x14ac:dyDescent="0.2">
      <c r="N795" s="18"/>
    </row>
    <row r="796" spans="14:14" x14ac:dyDescent="0.2">
      <c r="N796" s="18"/>
    </row>
    <row r="797" spans="14:14" x14ac:dyDescent="0.2">
      <c r="N797" s="18"/>
    </row>
    <row r="798" spans="14:14" x14ac:dyDescent="0.2">
      <c r="N798" s="18"/>
    </row>
    <row r="799" spans="14:14" x14ac:dyDescent="0.2">
      <c r="N799" s="18"/>
    </row>
    <row r="800" spans="14:14" x14ac:dyDescent="0.2">
      <c r="N800" s="18"/>
    </row>
    <row r="801" spans="14:14" x14ac:dyDescent="0.2">
      <c r="N801" s="18"/>
    </row>
    <row r="802" spans="14:14" x14ac:dyDescent="0.2">
      <c r="N802" s="18"/>
    </row>
    <row r="803" spans="14:14" x14ac:dyDescent="0.2">
      <c r="N803" s="18"/>
    </row>
    <row r="804" spans="14:14" x14ac:dyDescent="0.2">
      <c r="N804" s="18"/>
    </row>
    <row r="805" spans="14:14" x14ac:dyDescent="0.2">
      <c r="N805" s="18"/>
    </row>
    <row r="806" spans="14:14" x14ac:dyDescent="0.2">
      <c r="N806" s="18"/>
    </row>
    <row r="807" spans="14:14" x14ac:dyDescent="0.2">
      <c r="N807" s="18"/>
    </row>
    <row r="808" spans="14:14" x14ac:dyDescent="0.2">
      <c r="N808" s="18"/>
    </row>
    <row r="809" spans="14:14" x14ac:dyDescent="0.2">
      <c r="N809" s="18"/>
    </row>
    <row r="810" spans="14:14" x14ac:dyDescent="0.2">
      <c r="N810" s="18"/>
    </row>
    <row r="811" spans="14:14" x14ac:dyDescent="0.2">
      <c r="N811" s="18"/>
    </row>
    <row r="812" spans="14:14" x14ac:dyDescent="0.2">
      <c r="N812" s="18"/>
    </row>
    <row r="813" spans="14:14" x14ac:dyDescent="0.2">
      <c r="N813" s="18"/>
    </row>
    <row r="814" spans="14:14" x14ac:dyDescent="0.2">
      <c r="N814" s="18"/>
    </row>
    <row r="815" spans="14:14" x14ac:dyDescent="0.2">
      <c r="N815" s="18"/>
    </row>
    <row r="816" spans="14:14" x14ac:dyDescent="0.2">
      <c r="N816" s="18"/>
    </row>
    <row r="817" spans="14:14" x14ac:dyDescent="0.2">
      <c r="N817" s="18"/>
    </row>
    <row r="818" spans="14:14" x14ac:dyDescent="0.2">
      <c r="N818" s="18"/>
    </row>
    <row r="819" spans="14:14" x14ac:dyDescent="0.2">
      <c r="N819" s="18"/>
    </row>
    <row r="820" spans="14:14" x14ac:dyDescent="0.2">
      <c r="N820" s="18"/>
    </row>
    <row r="821" spans="14:14" x14ac:dyDescent="0.2">
      <c r="N821" s="18"/>
    </row>
    <row r="822" spans="14:14" x14ac:dyDescent="0.2">
      <c r="N822" s="18"/>
    </row>
    <row r="823" spans="14:14" x14ac:dyDescent="0.2">
      <c r="N823" s="18"/>
    </row>
    <row r="824" spans="14:14" x14ac:dyDescent="0.2">
      <c r="N824" s="18"/>
    </row>
    <row r="825" spans="14:14" x14ac:dyDescent="0.2">
      <c r="N825" s="18"/>
    </row>
    <row r="826" spans="14:14" x14ac:dyDescent="0.2">
      <c r="N826" s="18"/>
    </row>
    <row r="827" spans="14:14" x14ac:dyDescent="0.2">
      <c r="N827" s="18"/>
    </row>
    <row r="828" spans="14:14" x14ac:dyDescent="0.2">
      <c r="N828" s="18"/>
    </row>
    <row r="829" spans="14:14" x14ac:dyDescent="0.2">
      <c r="N829" s="18"/>
    </row>
    <row r="830" spans="14:14" x14ac:dyDescent="0.2">
      <c r="N830" s="18"/>
    </row>
    <row r="831" spans="14:14" x14ac:dyDescent="0.2">
      <c r="N831" s="18"/>
    </row>
    <row r="832" spans="14:14" x14ac:dyDescent="0.2">
      <c r="N832" s="18"/>
    </row>
    <row r="833" spans="14:14" x14ac:dyDescent="0.2">
      <c r="N833" s="18"/>
    </row>
    <row r="834" spans="14:14" x14ac:dyDescent="0.2">
      <c r="N834" s="18"/>
    </row>
    <row r="835" spans="14:14" x14ac:dyDescent="0.2">
      <c r="N835" s="18"/>
    </row>
    <row r="836" spans="14:14" x14ac:dyDescent="0.2">
      <c r="N836" s="18"/>
    </row>
    <row r="837" spans="14:14" x14ac:dyDescent="0.2">
      <c r="N837" s="18"/>
    </row>
    <row r="838" spans="14:14" x14ac:dyDescent="0.2">
      <c r="N838" s="18"/>
    </row>
    <row r="839" spans="14:14" x14ac:dyDescent="0.2">
      <c r="N839" s="18"/>
    </row>
    <row r="840" spans="14:14" x14ac:dyDescent="0.2">
      <c r="N840" s="18"/>
    </row>
    <row r="841" spans="14:14" x14ac:dyDescent="0.2">
      <c r="N841" s="18"/>
    </row>
    <row r="842" spans="14:14" x14ac:dyDescent="0.2">
      <c r="N842" s="18"/>
    </row>
    <row r="843" spans="14:14" x14ac:dyDescent="0.2">
      <c r="N843" s="18"/>
    </row>
    <row r="844" spans="14:14" x14ac:dyDescent="0.2">
      <c r="N844" s="18"/>
    </row>
    <row r="845" spans="14:14" x14ac:dyDescent="0.2">
      <c r="N845" s="18"/>
    </row>
    <row r="846" spans="14:14" x14ac:dyDescent="0.2">
      <c r="N846" s="18"/>
    </row>
    <row r="847" spans="14:14" x14ac:dyDescent="0.2">
      <c r="N847" s="18"/>
    </row>
    <row r="848" spans="14:14" x14ac:dyDescent="0.2">
      <c r="N848" s="18"/>
    </row>
    <row r="849" spans="14:14" x14ac:dyDescent="0.2">
      <c r="N849" s="18"/>
    </row>
    <row r="850" spans="14:14" x14ac:dyDescent="0.2">
      <c r="N850" s="18"/>
    </row>
    <row r="851" spans="14:14" x14ac:dyDescent="0.2">
      <c r="N851" s="18"/>
    </row>
    <row r="852" spans="14:14" x14ac:dyDescent="0.2">
      <c r="N852" s="18"/>
    </row>
    <row r="853" spans="14:14" x14ac:dyDescent="0.2">
      <c r="N853" s="18"/>
    </row>
    <row r="854" spans="14:14" x14ac:dyDescent="0.2">
      <c r="N854" s="18"/>
    </row>
    <row r="855" spans="14:14" x14ac:dyDescent="0.2">
      <c r="N855" s="18"/>
    </row>
    <row r="856" spans="14:14" x14ac:dyDescent="0.2">
      <c r="N856" s="18"/>
    </row>
    <row r="857" spans="14:14" x14ac:dyDescent="0.2">
      <c r="N857" s="18"/>
    </row>
    <row r="858" spans="14:14" x14ac:dyDescent="0.2">
      <c r="N858" s="18"/>
    </row>
    <row r="859" spans="14:14" x14ac:dyDescent="0.2">
      <c r="N859" s="18"/>
    </row>
    <row r="860" spans="14:14" x14ac:dyDescent="0.2">
      <c r="N860" s="18"/>
    </row>
    <row r="861" spans="14:14" x14ac:dyDescent="0.2">
      <c r="N861" s="18"/>
    </row>
    <row r="862" spans="14:14" x14ac:dyDescent="0.2">
      <c r="N862" s="18"/>
    </row>
    <row r="863" spans="14:14" x14ac:dyDescent="0.2">
      <c r="N863" s="18"/>
    </row>
    <row r="864" spans="14:14" x14ac:dyDescent="0.2">
      <c r="N864" s="18"/>
    </row>
    <row r="865" spans="14:14" x14ac:dyDescent="0.2">
      <c r="N865" s="18"/>
    </row>
    <row r="866" spans="14:14" x14ac:dyDescent="0.2">
      <c r="N866" s="18"/>
    </row>
    <row r="867" spans="14:14" x14ac:dyDescent="0.2">
      <c r="N867" s="18"/>
    </row>
    <row r="868" spans="14:14" x14ac:dyDescent="0.2">
      <c r="N868" s="18"/>
    </row>
    <row r="869" spans="14:14" x14ac:dyDescent="0.2">
      <c r="N869" s="18"/>
    </row>
    <row r="870" spans="14:14" x14ac:dyDescent="0.2">
      <c r="N870" s="18"/>
    </row>
    <row r="871" spans="14:14" x14ac:dyDescent="0.2">
      <c r="N871" s="18"/>
    </row>
    <row r="872" spans="14:14" x14ac:dyDescent="0.2">
      <c r="N872" s="18"/>
    </row>
    <row r="873" spans="14:14" x14ac:dyDescent="0.2">
      <c r="N873" s="18"/>
    </row>
    <row r="874" spans="14:14" x14ac:dyDescent="0.2">
      <c r="N874" s="18"/>
    </row>
    <row r="875" spans="14:14" x14ac:dyDescent="0.2">
      <c r="N875" s="18"/>
    </row>
    <row r="876" spans="14:14" x14ac:dyDescent="0.2">
      <c r="N876" s="18"/>
    </row>
    <row r="877" spans="14:14" x14ac:dyDescent="0.2">
      <c r="N877" s="18"/>
    </row>
    <row r="878" spans="14:14" x14ac:dyDescent="0.2">
      <c r="N878" s="18"/>
    </row>
    <row r="879" spans="14:14" x14ac:dyDescent="0.2">
      <c r="N879" s="18"/>
    </row>
    <row r="880" spans="14:14" x14ac:dyDescent="0.2">
      <c r="N880" s="18"/>
    </row>
    <row r="881" spans="14:14" x14ac:dyDescent="0.2">
      <c r="N881" s="18"/>
    </row>
    <row r="882" spans="14:14" x14ac:dyDescent="0.2">
      <c r="N882" s="18"/>
    </row>
    <row r="883" spans="14:14" x14ac:dyDescent="0.2">
      <c r="N883" s="18"/>
    </row>
    <row r="884" spans="14:14" x14ac:dyDescent="0.2">
      <c r="N884" s="18"/>
    </row>
    <row r="885" spans="14:14" x14ac:dyDescent="0.2">
      <c r="N885" s="18"/>
    </row>
    <row r="886" spans="14:14" x14ac:dyDescent="0.2">
      <c r="N886" s="18"/>
    </row>
    <row r="887" spans="14:14" x14ac:dyDescent="0.2">
      <c r="N887" s="18"/>
    </row>
    <row r="888" spans="14:14" x14ac:dyDescent="0.2">
      <c r="N888" s="18"/>
    </row>
    <row r="889" spans="14:14" x14ac:dyDescent="0.2">
      <c r="N889" s="18"/>
    </row>
    <row r="890" spans="14:14" x14ac:dyDescent="0.2">
      <c r="N890" s="18"/>
    </row>
    <row r="891" spans="14:14" x14ac:dyDescent="0.2">
      <c r="N891" s="18"/>
    </row>
    <row r="892" spans="14:14" x14ac:dyDescent="0.2">
      <c r="N892" s="18"/>
    </row>
    <row r="893" spans="14:14" x14ac:dyDescent="0.2">
      <c r="N893" s="18"/>
    </row>
    <row r="894" spans="14:14" x14ac:dyDescent="0.2">
      <c r="N894" s="18"/>
    </row>
    <row r="895" spans="14:14" x14ac:dyDescent="0.2">
      <c r="N895" s="18"/>
    </row>
    <row r="896" spans="14:14" x14ac:dyDescent="0.2">
      <c r="N896" s="18"/>
    </row>
    <row r="897" spans="14:14" x14ac:dyDescent="0.2">
      <c r="N897" s="18"/>
    </row>
    <row r="898" spans="14:14" x14ac:dyDescent="0.2">
      <c r="N898" s="18"/>
    </row>
    <row r="899" spans="14:14" x14ac:dyDescent="0.2">
      <c r="N899" s="18"/>
    </row>
    <row r="900" spans="14:14" x14ac:dyDescent="0.2">
      <c r="N900" s="18"/>
    </row>
    <row r="901" spans="14:14" x14ac:dyDescent="0.2">
      <c r="N901" s="18"/>
    </row>
    <row r="902" spans="14:14" x14ac:dyDescent="0.2">
      <c r="N902" s="18"/>
    </row>
    <row r="903" spans="14:14" x14ac:dyDescent="0.2">
      <c r="N903" s="18"/>
    </row>
    <row r="904" spans="14:14" x14ac:dyDescent="0.2">
      <c r="N904" s="18"/>
    </row>
    <row r="905" spans="14:14" x14ac:dyDescent="0.2">
      <c r="N905" s="18"/>
    </row>
    <row r="906" spans="14:14" x14ac:dyDescent="0.2">
      <c r="N906" s="18"/>
    </row>
    <row r="907" spans="14:14" x14ac:dyDescent="0.2">
      <c r="N907" s="18"/>
    </row>
    <row r="908" spans="14:14" x14ac:dyDescent="0.2">
      <c r="N908" s="18"/>
    </row>
    <row r="909" spans="14:14" x14ac:dyDescent="0.2">
      <c r="N909" s="18"/>
    </row>
    <row r="910" spans="14:14" x14ac:dyDescent="0.2">
      <c r="N910" s="18"/>
    </row>
    <row r="911" spans="14:14" x14ac:dyDescent="0.2">
      <c r="N911" s="18"/>
    </row>
    <row r="912" spans="14:14" x14ac:dyDescent="0.2">
      <c r="N912" s="18"/>
    </row>
    <row r="913" spans="14:14" x14ac:dyDescent="0.2">
      <c r="N913" s="18"/>
    </row>
    <row r="914" spans="14:14" x14ac:dyDescent="0.2">
      <c r="N914" s="18"/>
    </row>
    <row r="915" spans="14:14" x14ac:dyDescent="0.2">
      <c r="N915" s="18"/>
    </row>
    <row r="916" spans="14:14" x14ac:dyDescent="0.2">
      <c r="N916" s="18"/>
    </row>
    <row r="917" spans="14:14" x14ac:dyDescent="0.2">
      <c r="N917" s="18"/>
    </row>
    <row r="918" spans="14:14" x14ac:dyDescent="0.2">
      <c r="N918" s="18"/>
    </row>
    <row r="919" spans="14:14" x14ac:dyDescent="0.2">
      <c r="N919" s="18"/>
    </row>
    <row r="920" spans="14:14" x14ac:dyDescent="0.2">
      <c r="N920" s="18"/>
    </row>
    <row r="921" spans="14:14" x14ac:dyDescent="0.2">
      <c r="N921" s="18"/>
    </row>
    <row r="922" spans="14:14" x14ac:dyDescent="0.2">
      <c r="N922" s="18"/>
    </row>
    <row r="923" spans="14:14" x14ac:dyDescent="0.2">
      <c r="N923" s="18"/>
    </row>
    <row r="924" spans="14:14" x14ac:dyDescent="0.2">
      <c r="N924" s="18"/>
    </row>
    <row r="925" spans="14:14" x14ac:dyDescent="0.2">
      <c r="N925" s="18"/>
    </row>
    <row r="926" spans="14:14" x14ac:dyDescent="0.2">
      <c r="N926" s="18"/>
    </row>
    <row r="927" spans="14:14" x14ac:dyDescent="0.2">
      <c r="N927" s="18"/>
    </row>
    <row r="928" spans="14:14" x14ac:dyDescent="0.2">
      <c r="N928" s="18"/>
    </row>
    <row r="929" spans="14:14" x14ac:dyDescent="0.2">
      <c r="N929" s="18"/>
    </row>
    <row r="930" spans="14:14" x14ac:dyDescent="0.2">
      <c r="N930" s="18"/>
    </row>
    <row r="931" spans="14:14" x14ac:dyDescent="0.2">
      <c r="N931" s="18"/>
    </row>
    <row r="932" spans="14:14" x14ac:dyDescent="0.2">
      <c r="N932" s="18"/>
    </row>
    <row r="933" spans="14:14" x14ac:dyDescent="0.2">
      <c r="N933" s="18"/>
    </row>
    <row r="934" spans="14:14" x14ac:dyDescent="0.2">
      <c r="N934" s="18"/>
    </row>
    <row r="935" spans="14:14" x14ac:dyDescent="0.2">
      <c r="N935" s="18"/>
    </row>
    <row r="936" spans="14:14" x14ac:dyDescent="0.2">
      <c r="N936" s="18"/>
    </row>
    <row r="937" spans="14:14" x14ac:dyDescent="0.2">
      <c r="N937" s="18"/>
    </row>
    <row r="938" spans="14:14" x14ac:dyDescent="0.2">
      <c r="N938" s="18"/>
    </row>
    <row r="939" spans="14:14" x14ac:dyDescent="0.2">
      <c r="N939" s="18"/>
    </row>
    <row r="940" spans="14:14" x14ac:dyDescent="0.2">
      <c r="N940" s="18"/>
    </row>
    <row r="941" spans="14:14" x14ac:dyDescent="0.2">
      <c r="N941" s="18"/>
    </row>
    <row r="942" spans="14:14" x14ac:dyDescent="0.2">
      <c r="N942" s="18"/>
    </row>
    <row r="943" spans="14:14" x14ac:dyDescent="0.2">
      <c r="N943" s="18"/>
    </row>
    <row r="944" spans="14:14" x14ac:dyDescent="0.2">
      <c r="N944" s="18"/>
    </row>
    <row r="945" spans="14:14" x14ac:dyDescent="0.2">
      <c r="N945" s="18"/>
    </row>
    <row r="946" spans="14:14" x14ac:dyDescent="0.2">
      <c r="N946" s="18"/>
    </row>
    <row r="947" spans="14:14" x14ac:dyDescent="0.2">
      <c r="N947" s="18"/>
    </row>
    <row r="948" spans="14:14" x14ac:dyDescent="0.2">
      <c r="N948" s="18"/>
    </row>
    <row r="949" spans="14:14" x14ac:dyDescent="0.2">
      <c r="N949" s="18"/>
    </row>
    <row r="950" spans="14:14" x14ac:dyDescent="0.2">
      <c r="N950" s="18"/>
    </row>
    <row r="951" spans="14:14" x14ac:dyDescent="0.2">
      <c r="N951" s="18"/>
    </row>
    <row r="952" spans="14:14" x14ac:dyDescent="0.2">
      <c r="N952" s="18"/>
    </row>
    <row r="953" spans="14:14" x14ac:dyDescent="0.2">
      <c r="N953" s="18"/>
    </row>
    <row r="954" spans="14:14" x14ac:dyDescent="0.2">
      <c r="N954" s="18"/>
    </row>
    <row r="955" spans="14:14" x14ac:dyDescent="0.2">
      <c r="N955" s="18"/>
    </row>
    <row r="956" spans="14:14" x14ac:dyDescent="0.2">
      <c r="N956" s="18"/>
    </row>
    <row r="957" spans="14:14" x14ac:dyDescent="0.2">
      <c r="N957" s="18"/>
    </row>
    <row r="958" spans="14:14" x14ac:dyDescent="0.2">
      <c r="N958" s="18"/>
    </row>
    <row r="959" spans="14:14" x14ac:dyDescent="0.2">
      <c r="N959" s="18"/>
    </row>
    <row r="960" spans="14:14" x14ac:dyDescent="0.2">
      <c r="N960" s="18"/>
    </row>
    <row r="961" spans="14:14" x14ac:dyDescent="0.2">
      <c r="N961" s="18"/>
    </row>
    <row r="962" spans="14:14" x14ac:dyDescent="0.2">
      <c r="N962" s="18"/>
    </row>
    <row r="963" spans="14:14" x14ac:dyDescent="0.2">
      <c r="N963" s="18"/>
    </row>
    <row r="964" spans="14:14" x14ac:dyDescent="0.2">
      <c r="N964" s="18"/>
    </row>
    <row r="965" spans="14:14" x14ac:dyDescent="0.2">
      <c r="N965" s="18"/>
    </row>
    <row r="966" spans="14:14" x14ac:dyDescent="0.2">
      <c r="N966" s="18"/>
    </row>
    <row r="967" spans="14:14" x14ac:dyDescent="0.2">
      <c r="N967" s="18"/>
    </row>
    <row r="968" spans="14:14" x14ac:dyDescent="0.2">
      <c r="N968" s="18"/>
    </row>
    <row r="969" spans="14:14" x14ac:dyDescent="0.2">
      <c r="N969" s="18"/>
    </row>
    <row r="970" spans="14:14" x14ac:dyDescent="0.2">
      <c r="N970" s="18"/>
    </row>
    <row r="971" spans="14:14" x14ac:dyDescent="0.2">
      <c r="N971" s="18"/>
    </row>
    <row r="972" spans="14:14" x14ac:dyDescent="0.2">
      <c r="N972" s="18"/>
    </row>
    <row r="973" spans="14:14" x14ac:dyDescent="0.2">
      <c r="N973" s="18"/>
    </row>
    <row r="974" spans="14:14" x14ac:dyDescent="0.2">
      <c r="N974" s="18"/>
    </row>
    <row r="975" spans="14:14" x14ac:dyDescent="0.2">
      <c r="N975" s="18"/>
    </row>
    <row r="976" spans="14:14" x14ac:dyDescent="0.2">
      <c r="N976" s="18"/>
    </row>
    <row r="977" spans="14:14" x14ac:dyDescent="0.2">
      <c r="N977" s="18"/>
    </row>
    <row r="978" spans="14:14" x14ac:dyDescent="0.2">
      <c r="N978" s="18"/>
    </row>
    <row r="979" spans="14:14" x14ac:dyDescent="0.2">
      <c r="N979" s="18"/>
    </row>
    <row r="980" spans="14:14" x14ac:dyDescent="0.2">
      <c r="N980" s="18"/>
    </row>
    <row r="981" spans="14:14" x14ac:dyDescent="0.2">
      <c r="N981" s="18"/>
    </row>
    <row r="982" spans="14:14" x14ac:dyDescent="0.2">
      <c r="N982" s="18"/>
    </row>
    <row r="983" spans="14:14" x14ac:dyDescent="0.2">
      <c r="N983" s="18"/>
    </row>
    <row r="984" spans="14:14" x14ac:dyDescent="0.2">
      <c r="N984" s="18"/>
    </row>
    <row r="985" spans="14:14" x14ac:dyDescent="0.2">
      <c r="N985" s="18"/>
    </row>
    <row r="986" spans="14:14" x14ac:dyDescent="0.2">
      <c r="N986" s="18"/>
    </row>
    <row r="987" spans="14:14" x14ac:dyDescent="0.2">
      <c r="N987" s="18"/>
    </row>
    <row r="988" spans="14:14" x14ac:dyDescent="0.2">
      <c r="N988" s="18"/>
    </row>
    <row r="989" spans="14:14" x14ac:dyDescent="0.2">
      <c r="N989" s="18"/>
    </row>
    <row r="990" spans="14:14" x14ac:dyDescent="0.2">
      <c r="N990" s="18"/>
    </row>
    <row r="991" spans="14:14" x14ac:dyDescent="0.2">
      <c r="N991" s="18"/>
    </row>
    <row r="992" spans="14:14" x14ac:dyDescent="0.2">
      <c r="N992" s="18"/>
    </row>
    <row r="993" spans="14:14" x14ac:dyDescent="0.2">
      <c r="N993" s="18"/>
    </row>
    <row r="994" spans="14:14" x14ac:dyDescent="0.2">
      <c r="N994" s="18"/>
    </row>
    <row r="995" spans="14:14" x14ac:dyDescent="0.2">
      <c r="N995" s="18"/>
    </row>
    <row r="996" spans="14:14" x14ac:dyDescent="0.2">
      <c r="N996" s="18"/>
    </row>
    <row r="997" spans="14:14" x14ac:dyDescent="0.2">
      <c r="N997" s="18"/>
    </row>
    <row r="998" spans="14:14" x14ac:dyDescent="0.2">
      <c r="N998" s="18"/>
    </row>
    <row r="999" spans="14:14" x14ac:dyDescent="0.2">
      <c r="N999" s="18"/>
    </row>
    <row r="1000" spans="14:14" x14ac:dyDescent="0.2">
      <c r="N1000" s="18"/>
    </row>
    <row r="1001" spans="14:14" x14ac:dyDescent="0.2">
      <c r="N1001" s="18"/>
    </row>
    <row r="1002" spans="14:14" x14ac:dyDescent="0.2">
      <c r="N1002" s="18"/>
    </row>
    <row r="1003" spans="14:14" x14ac:dyDescent="0.2">
      <c r="N1003" s="18"/>
    </row>
    <row r="1004" spans="14:14" x14ac:dyDescent="0.2">
      <c r="N1004" s="18"/>
    </row>
    <row r="1005" spans="14:14" x14ac:dyDescent="0.2">
      <c r="N1005" s="18"/>
    </row>
    <row r="1006" spans="14:14" x14ac:dyDescent="0.2">
      <c r="N1006" s="18"/>
    </row>
    <row r="1007" spans="14:14" x14ac:dyDescent="0.2">
      <c r="N1007" s="18"/>
    </row>
    <row r="1008" spans="14:14" x14ac:dyDescent="0.2">
      <c r="N1008" s="18"/>
    </row>
    <row r="1009" spans="14:14" x14ac:dyDescent="0.2">
      <c r="N1009" s="18"/>
    </row>
    <row r="1010" spans="14:14" x14ac:dyDescent="0.2">
      <c r="N1010" s="18"/>
    </row>
    <row r="1011" spans="14:14" x14ac:dyDescent="0.2">
      <c r="N1011" s="18"/>
    </row>
    <row r="1012" spans="14:14" x14ac:dyDescent="0.2">
      <c r="N1012" s="18"/>
    </row>
    <row r="1013" spans="14:14" x14ac:dyDescent="0.2">
      <c r="N1013" s="18"/>
    </row>
    <row r="1014" spans="14:14" x14ac:dyDescent="0.2">
      <c r="N1014" s="18"/>
    </row>
    <row r="1015" spans="14:14" x14ac:dyDescent="0.2">
      <c r="N1015" s="18"/>
    </row>
    <row r="1016" spans="14:14" x14ac:dyDescent="0.2">
      <c r="N1016" s="18"/>
    </row>
    <row r="1017" spans="14:14" x14ac:dyDescent="0.2">
      <c r="N1017" s="18"/>
    </row>
    <row r="1018" spans="14:14" x14ac:dyDescent="0.2">
      <c r="N1018" s="18"/>
    </row>
    <row r="1019" spans="14:14" x14ac:dyDescent="0.2">
      <c r="N1019" s="18"/>
    </row>
    <row r="1020" spans="14:14" x14ac:dyDescent="0.2">
      <c r="N1020" s="18"/>
    </row>
    <row r="1021" spans="14:14" x14ac:dyDescent="0.2">
      <c r="N1021" s="18"/>
    </row>
    <row r="1022" spans="14:14" x14ac:dyDescent="0.2">
      <c r="N1022" s="18"/>
    </row>
    <row r="1023" spans="14:14" x14ac:dyDescent="0.2">
      <c r="N1023" s="18"/>
    </row>
    <row r="1024" spans="14:14" x14ac:dyDescent="0.2">
      <c r="N1024" s="18"/>
    </row>
    <row r="1025" spans="14:14" x14ac:dyDescent="0.2">
      <c r="N1025" s="18"/>
    </row>
    <row r="1026" spans="14:14" x14ac:dyDescent="0.2">
      <c r="N1026" s="18"/>
    </row>
    <row r="1027" spans="14:14" x14ac:dyDescent="0.2">
      <c r="N1027" s="18"/>
    </row>
    <row r="1028" spans="14:14" x14ac:dyDescent="0.2">
      <c r="N1028" s="18"/>
    </row>
    <row r="1029" spans="14:14" x14ac:dyDescent="0.2">
      <c r="N1029" s="18"/>
    </row>
    <row r="1030" spans="14:14" x14ac:dyDescent="0.2">
      <c r="N1030" s="18"/>
    </row>
    <row r="1031" spans="14:14" x14ac:dyDescent="0.2">
      <c r="N1031" s="18"/>
    </row>
    <row r="1032" spans="14:14" x14ac:dyDescent="0.2">
      <c r="N1032" s="18"/>
    </row>
    <row r="1033" spans="14:14" x14ac:dyDescent="0.2">
      <c r="N1033" s="18"/>
    </row>
    <row r="1034" spans="14:14" x14ac:dyDescent="0.2">
      <c r="N1034" s="18"/>
    </row>
    <row r="1035" spans="14:14" x14ac:dyDescent="0.2">
      <c r="N1035" s="18"/>
    </row>
    <row r="1036" spans="14:14" x14ac:dyDescent="0.2">
      <c r="N1036" s="18"/>
    </row>
    <row r="1037" spans="14:14" x14ac:dyDescent="0.2">
      <c r="N1037" s="18"/>
    </row>
    <row r="1038" spans="14:14" x14ac:dyDescent="0.2">
      <c r="N1038" s="18"/>
    </row>
    <row r="1039" spans="14:14" x14ac:dyDescent="0.2">
      <c r="N1039" s="18"/>
    </row>
    <row r="1040" spans="14:14" x14ac:dyDescent="0.2">
      <c r="N1040" s="18"/>
    </row>
    <row r="1041" spans="14:14" x14ac:dyDescent="0.2">
      <c r="N1041" s="18"/>
    </row>
    <row r="1042" spans="14:14" x14ac:dyDescent="0.2">
      <c r="N1042" s="18"/>
    </row>
    <row r="1043" spans="14:14" x14ac:dyDescent="0.2">
      <c r="N1043" s="18"/>
    </row>
    <row r="1044" spans="14:14" x14ac:dyDescent="0.2">
      <c r="N1044" s="18"/>
    </row>
    <row r="1045" spans="14:14" x14ac:dyDescent="0.2">
      <c r="N1045" s="18"/>
    </row>
    <row r="1046" spans="14:14" x14ac:dyDescent="0.2">
      <c r="N1046" s="18"/>
    </row>
    <row r="1047" spans="14:14" x14ac:dyDescent="0.2">
      <c r="N1047" s="18"/>
    </row>
    <row r="1048" spans="14:14" x14ac:dyDescent="0.2">
      <c r="N1048" s="18"/>
    </row>
    <row r="1049" spans="14:14" x14ac:dyDescent="0.2">
      <c r="N1049" s="18"/>
    </row>
    <row r="1050" spans="14:14" x14ac:dyDescent="0.2">
      <c r="N1050" s="18"/>
    </row>
    <row r="1051" spans="14:14" x14ac:dyDescent="0.2">
      <c r="N1051" s="18"/>
    </row>
    <row r="1052" spans="14:14" x14ac:dyDescent="0.2">
      <c r="N1052" s="18"/>
    </row>
    <row r="1053" spans="14:14" x14ac:dyDescent="0.2">
      <c r="N1053" s="18"/>
    </row>
    <row r="1054" spans="14:14" x14ac:dyDescent="0.2">
      <c r="N1054" s="18"/>
    </row>
    <row r="1055" spans="14:14" x14ac:dyDescent="0.2">
      <c r="N1055" s="18"/>
    </row>
    <row r="1056" spans="14:14" x14ac:dyDescent="0.2">
      <c r="N1056" s="18"/>
    </row>
    <row r="1057" spans="14:14" x14ac:dyDescent="0.2">
      <c r="N1057" s="18"/>
    </row>
    <row r="1058" spans="14:14" x14ac:dyDescent="0.2">
      <c r="N1058" s="18"/>
    </row>
    <row r="1059" spans="14:14" x14ac:dyDescent="0.2">
      <c r="N1059" s="18"/>
    </row>
    <row r="1060" spans="14:14" x14ac:dyDescent="0.2">
      <c r="N1060" s="18"/>
    </row>
    <row r="1061" spans="14:14" x14ac:dyDescent="0.2">
      <c r="N1061" s="18"/>
    </row>
    <row r="1062" spans="14:14" x14ac:dyDescent="0.2">
      <c r="N1062" s="18"/>
    </row>
    <row r="1063" spans="14:14" x14ac:dyDescent="0.2">
      <c r="N1063" s="18"/>
    </row>
    <row r="1064" spans="14:14" x14ac:dyDescent="0.2">
      <c r="N1064" s="18"/>
    </row>
    <row r="1065" spans="14:14" x14ac:dyDescent="0.2">
      <c r="N1065" s="18"/>
    </row>
    <row r="1066" spans="14:14" x14ac:dyDescent="0.2">
      <c r="N1066" s="18"/>
    </row>
    <row r="1067" spans="14:14" x14ac:dyDescent="0.2">
      <c r="N1067" s="18"/>
    </row>
    <row r="1068" spans="14:14" x14ac:dyDescent="0.2">
      <c r="N1068" s="18"/>
    </row>
    <row r="1069" spans="14:14" x14ac:dyDescent="0.2">
      <c r="N1069" s="18"/>
    </row>
    <row r="1070" spans="14:14" x14ac:dyDescent="0.2">
      <c r="N1070" s="18"/>
    </row>
    <row r="1071" spans="14:14" x14ac:dyDescent="0.2">
      <c r="N1071" s="18"/>
    </row>
    <row r="1072" spans="14:14" x14ac:dyDescent="0.2">
      <c r="N1072" s="18"/>
    </row>
    <row r="1073" spans="14:14" x14ac:dyDescent="0.2">
      <c r="N1073" s="18"/>
    </row>
    <row r="1074" spans="14:14" x14ac:dyDescent="0.2">
      <c r="N1074" s="18"/>
    </row>
    <row r="1075" spans="14:14" x14ac:dyDescent="0.2">
      <c r="N1075" s="18"/>
    </row>
    <row r="1076" spans="14:14" x14ac:dyDescent="0.2">
      <c r="N1076" s="18"/>
    </row>
    <row r="1077" spans="14:14" x14ac:dyDescent="0.2">
      <c r="N1077" s="18"/>
    </row>
    <row r="1078" spans="14:14" x14ac:dyDescent="0.2">
      <c r="N1078" s="18"/>
    </row>
    <row r="1079" spans="14:14" x14ac:dyDescent="0.2">
      <c r="N1079" s="18"/>
    </row>
    <row r="1080" spans="14:14" x14ac:dyDescent="0.2">
      <c r="N1080" s="18"/>
    </row>
    <row r="1081" spans="14:14" x14ac:dyDescent="0.2">
      <c r="N1081" s="18"/>
    </row>
    <row r="1082" spans="14:14" x14ac:dyDescent="0.2">
      <c r="N1082" s="18"/>
    </row>
    <row r="1083" spans="14:14" x14ac:dyDescent="0.2">
      <c r="N1083" s="18"/>
    </row>
    <row r="1084" spans="14:14" x14ac:dyDescent="0.2">
      <c r="N1084" s="18"/>
    </row>
    <row r="1085" spans="14:14" x14ac:dyDescent="0.2">
      <c r="N1085" s="18"/>
    </row>
    <row r="1086" spans="14:14" x14ac:dyDescent="0.2">
      <c r="N1086" s="18"/>
    </row>
    <row r="1087" spans="14:14" x14ac:dyDescent="0.2">
      <c r="N1087" s="18"/>
    </row>
    <row r="1088" spans="14:14" x14ac:dyDescent="0.2">
      <c r="N1088" s="18"/>
    </row>
    <row r="1089" spans="14:14" x14ac:dyDescent="0.2">
      <c r="N1089" s="18"/>
    </row>
    <row r="1090" spans="14:14" x14ac:dyDescent="0.2">
      <c r="N1090" s="18"/>
    </row>
    <row r="1091" spans="14:14" x14ac:dyDescent="0.2">
      <c r="N1091" s="18"/>
    </row>
    <row r="1092" spans="14:14" x14ac:dyDescent="0.2">
      <c r="N1092" s="18"/>
    </row>
    <row r="1093" spans="14:14" x14ac:dyDescent="0.2">
      <c r="N1093" s="18"/>
    </row>
    <row r="1094" spans="14:14" x14ac:dyDescent="0.2">
      <c r="N1094" s="18"/>
    </row>
    <row r="1095" spans="14:14" x14ac:dyDescent="0.2">
      <c r="N1095" s="18"/>
    </row>
    <row r="1096" spans="14:14" x14ac:dyDescent="0.2">
      <c r="N1096" s="18"/>
    </row>
    <row r="1097" spans="14:14" x14ac:dyDescent="0.2">
      <c r="N1097" s="18"/>
    </row>
    <row r="1098" spans="14:14" x14ac:dyDescent="0.2">
      <c r="N1098" s="18"/>
    </row>
    <row r="1099" spans="14:14" x14ac:dyDescent="0.2">
      <c r="N1099" s="18"/>
    </row>
    <row r="1100" spans="14:14" x14ac:dyDescent="0.2">
      <c r="N1100" s="18"/>
    </row>
    <row r="1101" spans="14:14" x14ac:dyDescent="0.2">
      <c r="N1101" s="18"/>
    </row>
    <row r="1102" spans="14:14" x14ac:dyDescent="0.2">
      <c r="N1102" s="18"/>
    </row>
    <row r="1103" spans="14:14" x14ac:dyDescent="0.2">
      <c r="N1103" s="18"/>
    </row>
    <row r="1104" spans="14:14" x14ac:dyDescent="0.2">
      <c r="N1104" s="18"/>
    </row>
    <row r="1105" spans="14:14" x14ac:dyDescent="0.2">
      <c r="N1105" s="18"/>
    </row>
    <row r="1106" spans="14:14" x14ac:dyDescent="0.2">
      <c r="N1106" s="18"/>
    </row>
    <row r="1107" spans="14:14" x14ac:dyDescent="0.2">
      <c r="N1107" s="18"/>
    </row>
    <row r="1108" spans="14:14" x14ac:dyDescent="0.2">
      <c r="N1108" s="18"/>
    </row>
    <row r="1109" spans="14:14" x14ac:dyDescent="0.2">
      <c r="N1109" s="18"/>
    </row>
    <row r="1110" spans="14:14" x14ac:dyDescent="0.2">
      <c r="N1110" s="18"/>
    </row>
    <row r="1111" spans="14:14" x14ac:dyDescent="0.2">
      <c r="N1111" s="18"/>
    </row>
    <row r="1112" spans="14:14" x14ac:dyDescent="0.2">
      <c r="N1112" s="18"/>
    </row>
    <row r="1113" spans="14:14" x14ac:dyDescent="0.2">
      <c r="N1113" s="18"/>
    </row>
    <row r="1114" spans="14:14" x14ac:dyDescent="0.2">
      <c r="N1114" s="18"/>
    </row>
    <row r="1115" spans="14:14" x14ac:dyDescent="0.2">
      <c r="N1115" s="18"/>
    </row>
    <row r="1116" spans="14:14" x14ac:dyDescent="0.2">
      <c r="N1116" s="18"/>
    </row>
    <row r="1117" spans="14:14" x14ac:dyDescent="0.2">
      <c r="N1117" s="18"/>
    </row>
    <row r="1118" spans="14:14" x14ac:dyDescent="0.2">
      <c r="N1118" s="18"/>
    </row>
    <row r="1119" spans="14:14" x14ac:dyDescent="0.2">
      <c r="N1119" s="18"/>
    </row>
    <row r="1120" spans="14:14" x14ac:dyDescent="0.2">
      <c r="N1120" s="18"/>
    </row>
    <row r="1121" spans="14:14" x14ac:dyDescent="0.2">
      <c r="N1121" s="18"/>
    </row>
    <row r="1122" spans="14:14" x14ac:dyDescent="0.2">
      <c r="N1122" s="18"/>
    </row>
    <row r="1123" spans="14:14" x14ac:dyDescent="0.2">
      <c r="N1123" s="18"/>
    </row>
    <row r="1124" spans="14:14" x14ac:dyDescent="0.2">
      <c r="N1124" s="18"/>
    </row>
    <row r="1125" spans="14:14" x14ac:dyDescent="0.2">
      <c r="N1125" s="18"/>
    </row>
    <row r="1126" spans="14:14" x14ac:dyDescent="0.2">
      <c r="N1126" s="18"/>
    </row>
    <row r="1127" spans="14:14" x14ac:dyDescent="0.2">
      <c r="N1127" s="18"/>
    </row>
    <row r="1128" spans="14:14" x14ac:dyDescent="0.2">
      <c r="N1128" s="18"/>
    </row>
    <row r="1129" spans="14:14" x14ac:dyDescent="0.2">
      <c r="N1129" s="18"/>
    </row>
    <row r="1130" spans="14:14" x14ac:dyDescent="0.2">
      <c r="N1130" s="18"/>
    </row>
    <row r="1131" spans="14:14" x14ac:dyDescent="0.2">
      <c r="N1131" s="18"/>
    </row>
    <row r="1132" spans="14:14" x14ac:dyDescent="0.2">
      <c r="N1132" s="18"/>
    </row>
    <row r="1133" spans="14:14" x14ac:dyDescent="0.2">
      <c r="N1133" s="18"/>
    </row>
    <row r="1134" spans="14:14" x14ac:dyDescent="0.2">
      <c r="N1134" s="18"/>
    </row>
    <row r="1135" spans="14:14" x14ac:dyDescent="0.2">
      <c r="N1135" s="18"/>
    </row>
    <row r="1136" spans="14:14" x14ac:dyDescent="0.2">
      <c r="N1136" s="18"/>
    </row>
    <row r="1137" spans="14:14" x14ac:dyDescent="0.2">
      <c r="N1137" s="18"/>
    </row>
    <row r="1138" spans="14:14" x14ac:dyDescent="0.2">
      <c r="N1138" s="18"/>
    </row>
    <row r="1139" spans="14:14" x14ac:dyDescent="0.2">
      <c r="N1139" s="18"/>
    </row>
    <row r="1140" spans="14:14" x14ac:dyDescent="0.2">
      <c r="N1140" s="18"/>
    </row>
    <row r="1141" spans="14:14" x14ac:dyDescent="0.2">
      <c r="N1141" s="18"/>
    </row>
    <row r="1142" spans="14:14" x14ac:dyDescent="0.2">
      <c r="N1142" s="18"/>
    </row>
    <row r="1143" spans="14:14" x14ac:dyDescent="0.2">
      <c r="N1143" s="18"/>
    </row>
    <row r="1144" spans="14:14" x14ac:dyDescent="0.2">
      <c r="N1144" s="18"/>
    </row>
    <row r="1145" spans="14:14" x14ac:dyDescent="0.2">
      <c r="N1145" s="18"/>
    </row>
    <row r="1146" spans="14:14" x14ac:dyDescent="0.2">
      <c r="N1146" s="18"/>
    </row>
    <row r="1147" spans="14:14" x14ac:dyDescent="0.2">
      <c r="N1147" s="18"/>
    </row>
    <row r="1148" spans="14:14" x14ac:dyDescent="0.2">
      <c r="N1148" s="18"/>
    </row>
    <row r="1149" spans="14:14" x14ac:dyDescent="0.2">
      <c r="N1149" s="18"/>
    </row>
    <row r="1150" spans="14:14" x14ac:dyDescent="0.2">
      <c r="N1150" s="18"/>
    </row>
    <row r="1151" spans="14:14" x14ac:dyDescent="0.2">
      <c r="N1151" s="18"/>
    </row>
    <row r="1152" spans="14:14" x14ac:dyDescent="0.2">
      <c r="N1152" s="18"/>
    </row>
    <row r="1153" spans="14:14" x14ac:dyDescent="0.2">
      <c r="N1153" s="18"/>
    </row>
    <row r="1154" spans="14:14" x14ac:dyDescent="0.2">
      <c r="N1154" s="18"/>
    </row>
    <row r="1155" spans="14:14" x14ac:dyDescent="0.2">
      <c r="N1155" s="18"/>
    </row>
    <row r="1156" spans="14:14" x14ac:dyDescent="0.2">
      <c r="N1156" s="18"/>
    </row>
    <row r="1157" spans="14:14" x14ac:dyDescent="0.2">
      <c r="N1157" s="18"/>
    </row>
    <row r="1158" spans="14:14" x14ac:dyDescent="0.2">
      <c r="N1158" s="18"/>
    </row>
    <row r="1159" spans="14:14" x14ac:dyDescent="0.2">
      <c r="N1159" s="18"/>
    </row>
    <row r="1160" spans="14:14" x14ac:dyDescent="0.2">
      <c r="N1160" s="18"/>
    </row>
    <row r="1161" spans="14:14" x14ac:dyDescent="0.2">
      <c r="N1161" s="18"/>
    </row>
    <row r="1162" spans="14:14" x14ac:dyDescent="0.2">
      <c r="N1162" s="18"/>
    </row>
    <row r="1163" spans="14:14" x14ac:dyDescent="0.2">
      <c r="N1163" s="18"/>
    </row>
    <row r="1164" spans="14:14" x14ac:dyDescent="0.2">
      <c r="N1164" s="18"/>
    </row>
    <row r="1165" spans="14:14" x14ac:dyDescent="0.2">
      <c r="N1165" s="18"/>
    </row>
    <row r="1166" spans="14:14" x14ac:dyDescent="0.2">
      <c r="N1166" s="18"/>
    </row>
    <row r="1167" spans="14:14" x14ac:dyDescent="0.2">
      <c r="N1167" s="18"/>
    </row>
    <row r="1168" spans="14:14" x14ac:dyDescent="0.2">
      <c r="N1168" s="18"/>
    </row>
    <row r="1169" spans="14:14" x14ac:dyDescent="0.2">
      <c r="N1169" s="18"/>
    </row>
    <row r="1170" spans="14:14" x14ac:dyDescent="0.2">
      <c r="N1170" s="18"/>
    </row>
    <row r="1171" spans="14:14" x14ac:dyDescent="0.2">
      <c r="N1171" s="18"/>
    </row>
    <row r="1172" spans="14:14" x14ac:dyDescent="0.2">
      <c r="N1172" s="18"/>
    </row>
    <row r="1173" spans="14:14" x14ac:dyDescent="0.2">
      <c r="N1173" s="18"/>
    </row>
    <row r="1174" spans="14:14" x14ac:dyDescent="0.2">
      <c r="N1174" s="18"/>
    </row>
    <row r="1175" spans="14:14" x14ac:dyDescent="0.2">
      <c r="N1175" s="18"/>
    </row>
    <row r="1176" spans="14:14" x14ac:dyDescent="0.2">
      <c r="N1176" s="18"/>
    </row>
    <row r="1177" spans="14:14" x14ac:dyDescent="0.2">
      <c r="N1177" s="18"/>
    </row>
    <row r="1178" spans="14:14" x14ac:dyDescent="0.2">
      <c r="N1178" s="18"/>
    </row>
    <row r="1179" spans="14:14" x14ac:dyDescent="0.2">
      <c r="N1179" s="18"/>
    </row>
    <row r="1180" spans="14:14" x14ac:dyDescent="0.2">
      <c r="N1180" s="18"/>
    </row>
    <row r="1181" spans="14:14" x14ac:dyDescent="0.2">
      <c r="N1181" s="18"/>
    </row>
    <row r="1182" spans="14:14" x14ac:dyDescent="0.2">
      <c r="N1182" s="18"/>
    </row>
    <row r="1183" spans="14:14" x14ac:dyDescent="0.2">
      <c r="N1183" s="18"/>
    </row>
    <row r="1184" spans="14:14" x14ac:dyDescent="0.2">
      <c r="N1184" s="18"/>
    </row>
    <row r="1185" spans="14:14" x14ac:dyDescent="0.2">
      <c r="N1185" s="18"/>
    </row>
    <row r="1186" spans="14:14" x14ac:dyDescent="0.2">
      <c r="N1186" s="18"/>
    </row>
    <row r="1187" spans="14:14" x14ac:dyDescent="0.2">
      <c r="N1187" s="18"/>
    </row>
    <row r="1188" spans="14:14" x14ac:dyDescent="0.2">
      <c r="N1188" s="18"/>
    </row>
    <row r="1189" spans="14:14" x14ac:dyDescent="0.2">
      <c r="N1189" s="18"/>
    </row>
    <row r="1190" spans="14:14" x14ac:dyDescent="0.2">
      <c r="N1190" s="18"/>
    </row>
    <row r="1191" spans="14:14" x14ac:dyDescent="0.2">
      <c r="N1191" s="18"/>
    </row>
    <row r="1192" spans="14:14" x14ac:dyDescent="0.2">
      <c r="N1192" s="18"/>
    </row>
    <row r="1193" spans="14:14" x14ac:dyDescent="0.2">
      <c r="N1193" s="18"/>
    </row>
    <row r="1194" spans="14:14" x14ac:dyDescent="0.2">
      <c r="N1194" s="18"/>
    </row>
    <row r="1195" spans="14:14" x14ac:dyDescent="0.2">
      <c r="N1195" s="18"/>
    </row>
    <row r="1196" spans="14:14" x14ac:dyDescent="0.2">
      <c r="N1196" s="18"/>
    </row>
    <row r="1197" spans="14:14" x14ac:dyDescent="0.2">
      <c r="N1197" s="18"/>
    </row>
    <row r="1198" spans="14:14" x14ac:dyDescent="0.2">
      <c r="N1198" s="18"/>
    </row>
    <row r="1199" spans="14:14" x14ac:dyDescent="0.2">
      <c r="N1199" s="18"/>
    </row>
    <row r="1200" spans="14:14" x14ac:dyDescent="0.2">
      <c r="N1200" s="18"/>
    </row>
    <row r="1201" spans="14:14" x14ac:dyDescent="0.2">
      <c r="N1201" s="18"/>
    </row>
    <row r="1202" spans="14:14" x14ac:dyDescent="0.2">
      <c r="N1202" s="18"/>
    </row>
    <row r="1203" spans="14:14" x14ac:dyDescent="0.2">
      <c r="N1203" s="18"/>
    </row>
    <row r="1204" spans="14:14" x14ac:dyDescent="0.2">
      <c r="N1204" s="18"/>
    </row>
    <row r="1205" spans="14:14" x14ac:dyDescent="0.2">
      <c r="N1205" s="18"/>
    </row>
    <row r="1206" spans="14:14" x14ac:dyDescent="0.2">
      <c r="N1206" s="18"/>
    </row>
    <row r="1207" spans="14:14" x14ac:dyDescent="0.2">
      <c r="N1207" s="18"/>
    </row>
    <row r="1208" spans="14:14" x14ac:dyDescent="0.2">
      <c r="N1208" s="18"/>
    </row>
    <row r="1209" spans="14:14" x14ac:dyDescent="0.2">
      <c r="N1209" s="18"/>
    </row>
    <row r="1210" spans="14:14" x14ac:dyDescent="0.2">
      <c r="N1210" s="18"/>
    </row>
    <row r="1211" spans="14:14" x14ac:dyDescent="0.2">
      <c r="N1211" s="18"/>
    </row>
    <row r="1212" spans="14:14" x14ac:dyDescent="0.2">
      <c r="N1212" s="18"/>
    </row>
    <row r="1213" spans="14:14" x14ac:dyDescent="0.2">
      <c r="N1213" s="18"/>
    </row>
    <row r="1214" spans="14:14" x14ac:dyDescent="0.2">
      <c r="N1214" s="18"/>
    </row>
    <row r="1215" spans="14:14" x14ac:dyDescent="0.2">
      <c r="N1215" s="18"/>
    </row>
    <row r="1216" spans="14:14" x14ac:dyDescent="0.2">
      <c r="N1216" s="18"/>
    </row>
    <row r="1217" spans="14:14" x14ac:dyDescent="0.2">
      <c r="N1217" s="18"/>
    </row>
    <row r="1218" spans="14:14" x14ac:dyDescent="0.2">
      <c r="N1218" s="18"/>
    </row>
    <row r="1219" spans="14:14" x14ac:dyDescent="0.2">
      <c r="N1219" s="18"/>
    </row>
    <row r="1220" spans="14:14" x14ac:dyDescent="0.2">
      <c r="N1220" s="18"/>
    </row>
    <row r="1221" spans="14:14" x14ac:dyDescent="0.2">
      <c r="N1221" s="18"/>
    </row>
    <row r="1222" spans="14:14" x14ac:dyDescent="0.2">
      <c r="N1222" s="18"/>
    </row>
    <row r="1223" spans="14:14" x14ac:dyDescent="0.2">
      <c r="N1223" s="18"/>
    </row>
    <row r="1224" spans="14:14" x14ac:dyDescent="0.2">
      <c r="N1224" s="18"/>
    </row>
    <row r="1225" spans="14:14" x14ac:dyDescent="0.2">
      <c r="N1225" s="18"/>
    </row>
    <row r="1226" spans="14:14" x14ac:dyDescent="0.2">
      <c r="N1226" s="18"/>
    </row>
    <row r="1227" spans="14:14" x14ac:dyDescent="0.2">
      <c r="N1227" s="18"/>
    </row>
    <row r="1228" spans="14:14" x14ac:dyDescent="0.2">
      <c r="N1228" s="18"/>
    </row>
    <row r="1229" spans="14:14" x14ac:dyDescent="0.2">
      <c r="N1229" s="18"/>
    </row>
    <row r="1230" spans="14:14" x14ac:dyDescent="0.2">
      <c r="N1230" s="18"/>
    </row>
    <row r="1231" spans="14:14" x14ac:dyDescent="0.2">
      <c r="N1231" s="18"/>
    </row>
    <row r="1232" spans="14:14" x14ac:dyDescent="0.2">
      <c r="N1232" s="18"/>
    </row>
    <row r="1233" spans="14:14" x14ac:dyDescent="0.2">
      <c r="N1233" s="18"/>
    </row>
    <row r="1234" spans="14:14" x14ac:dyDescent="0.2">
      <c r="N1234" s="18"/>
    </row>
    <row r="1235" spans="14:14" x14ac:dyDescent="0.2">
      <c r="N1235" s="18"/>
    </row>
    <row r="1236" spans="14:14" x14ac:dyDescent="0.2">
      <c r="N1236" s="18"/>
    </row>
    <row r="1237" spans="14:14" x14ac:dyDescent="0.2">
      <c r="N1237" s="18"/>
    </row>
    <row r="1238" spans="14:14" x14ac:dyDescent="0.2">
      <c r="N1238" s="18"/>
    </row>
    <row r="1239" spans="14:14" x14ac:dyDescent="0.2">
      <c r="N1239" s="18"/>
    </row>
    <row r="1240" spans="14:14" x14ac:dyDescent="0.2">
      <c r="N1240" s="18"/>
    </row>
    <row r="1241" spans="14:14" x14ac:dyDescent="0.2">
      <c r="N1241" s="18"/>
    </row>
    <row r="1242" spans="14:14" x14ac:dyDescent="0.2">
      <c r="N1242" s="18"/>
    </row>
    <row r="1243" spans="14:14" x14ac:dyDescent="0.2">
      <c r="N1243" s="18"/>
    </row>
    <row r="1244" spans="14:14" x14ac:dyDescent="0.2">
      <c r="N1244" s="18"/>
    </row>
    <row r="1245" spans="14:14" x14ac:dyDescent="0.2">
      <c r="N1245" s="18"/>
    </row>
    <row r="1246" spans="14:14" x14ac:dyDescent="0.2">
      <c r="N1246" s="18"/>
    </row>
    <row r="1247" spans="14:14" x14ac:dyDescent="0.2">
      <c r="N1247" s="18"/>
    </row>
    <row r="1248" spans="14:14" x14ac:dyDescent="0.2">
      <c r="N1248" s="18"/>
    </row>
    <row r="1249" spans="14:14" x14ac:dyDescent="0.2">
      <c r="N1249" s="18"/>
    </row>
    <row r="1250" spans="14:14" x14ac:dyDescent="0.2">
      <c r="N1250" s="18"/>
    </row>
    <row r="1251" spans="14:14" x14ac:dyDescent="0.2">
      <c r="N1251" s="18"/>
    </row>
    <row r="1252" spans="14:14" x14ac:dyDescent="0.2">
      <c r="N1252" s="18"/>
    </row>
    <row r="1253" spans="14:14" x14ac:dyDescent="0.2">
      <c r="N1253" s="18"/>
    </row>
    <row r="1254" spans="14:14" x14ac:dyDescent="0.2">
      <c r="N1254" s="18"/>
    </row>
    <row r="1255" spans="14:14" x14ac:dyDescent="0.2">
      <c r="N1255" s="18"/>
    </row>
    <row r="1256" spans="14:14" x14ac:dyDescent="0.2">
      <c r="N1256" s="18"/>
    </row>
    <row r="1257" spans="14:14" x14ac:dyDescent="0.2">
      <c r="N1257" s="18"/>
    </row>
    <row r="1258" spans="14:14" x14ac:dyDescent="0.2">
      <c r="N1258" s="18"/>
    </row>
    <row r="1259" spans="14:14" x14ac:dyDescent="0.2">
      <c r="N1259" s="18"/>
    </row>
    <row r="1260" spans="14:14" x14ac:dyDescent="0.2">
      <c r="N1260" s="18"/>
    </row>
    <row r="1261" spans="14:14" x14ac:dyDescent="0.2">
      <c r="N1261" s="18"/>
    </row>
    <row r="1262" spans="14:14" x14ac:dyDescent="0.2">
      <c r="N1262" s="18"/>
    </row>
    <row r="1263" spans="14:14" x14ac:dyDescent="0.2">
      <c r="N1263" s="18"/>
    </row>
    <row r="1264" spans="14:14" x14ac:dyDescent="0.2">
      <c r="N1264" s="18"/>
    </row>
    <row r="1265" spans="14:14" x14ac:dyDescent="0.2">
      <c r="N1265" s="18"/>
    </row>
    <row r="1266" spans="14:14" x14ac:dyDescent="0.2">
      <c r="N1266" s="18"/>
    </row>
    <row r="1267" spans="14:14" x14ac:dyDescent="0.2">
      <c r="N1267" s="18"/>
    </row>
    <row r="1268" spans="14:14" x14ac:dyDescent="0.2">
      <c r="N1268" s="18"/>
    </row>
    <row r="1269" spans="14:14" x14ac:dyDescent="0.2">
      <c r="N1269" s="18"/>
    </row>
    <row r="1270" spans="14:14" x14ac:dyDescent="0.2">
      <c r="N1270" s="18"/>
    </row>
    <row r="1271" spans="14:14" x14ac:dyDescent="0.2">
      <c r="N1271" s="18"/>
    </row>
    <row r="1272" spans="14:14" x14ac:dyDescent="0.2">
      <c r="N1272" s="18"/>
    </row>
    <row r="1273" spans="14:14" x14ac:dyDescent="0.2">
      <c r="N1273" s="18"/>
    </row>
    <row r="1274" spans="14:14" x14ac:dyDescent="0.2">
      <c r="N1274" s="18"/>
    </row>
    <row r="1275" spans="14:14" x14ac:dyDescent="0.2">
      <c r="N1275" s="18"/>
    </row>
    <row r="1276" spans="14:14" x14ac:dyDescent="0.2">
      <c r="N1276" s="18"/>
    </row>
    <row r="1277" spans="14:14" x14ac:dyDescent="0.2">
      <c r="N1277" s="18"/>
    </row>
    <row r="1278" spans="14:14" x14ac:dyDescent="0.2">
      <c r="N1278" s="18"/>
    </row>
    <row r="1279" spans="14:14" x14ac:dyDescent="0.2">
      <c r="N1279" s="18"/>
    </row>
    <row r="1280" spans="14:14" x14ac:dyDescent="0.2">
      <c r="N1280" s="18"/>
    </row>
    <row r="1281" spans="14:14" x14ac:dyDescent="0.2">
      <c r="N1281" s="18"/>
    </row>
    <row r="1282" spans="14:14" x14ac:dyDescent="0.2">
      <c r="N1282" s="18"/>
    </row>
    <row r="1283" spans="14:14" x14ac:dyDescent="0.2">
      <c r="N1283" s="18"/>
    </row>
    <row r="1284" spans="14:14" x14ac:dyDescent="0.2">
      <c r="N1284" s="18"/>
    </row>
    <row r="1285" spans="14:14" x14ac:dyDescent="0.2">
      <c r="N1285" s="18"/>
    </row>
    <row r="1286" spans="14:14" x14ac:dyDescent="0.2">
      <c r="N1286" s="18"/>
    </row>
    <row r="1287" spans="14:14" x14ac:dyDescent="0.2">
      <c r="N1287" s="18"/>
    </row>
    <row r="1288" spans="14:14" x14ac:dyDescent="0.2">
      <c r="N1288" s="18"/>
    </row>
    <row r="1289" spans="14:14" x14ac:dyDescent="0.2">
      <c r="N1289" s="18"/>
    </row>
    <row r="1290" spans="14:14" x14ac:dyDescent="0.2">
      <c r="N1290" s="18"/>
    </row>
    <row r="1291" spans="14:14" x14ac:dyDescent="0.2">
      <c r="N1291" s="18"/>
    </row>
    <row r="1292" spans="14:14" x14ac:dyDescent="0.2">
      <c r="N1292" s="18"/>
    </row>
    <row r="1293" spans="14:14" x14ac:dyDescent="0.2">
      <c r="N1293" s="18"/>
    </row>
    <row r="1294" spans="14:14" x14ac:dyDescent="0.2">
      <c r="N1294" s="18"/>
    </row>
    <row r="1295" spans="14:14" x14ac:dyDescent="0.2">
      <c r="N1295" s="18"/>
    </row>
    <row r="1296" spans="14:14" x14ac:dyDescent="0.2">
      <c r="N1296" s="18"/>
    </row>
    <row r="1297" spans="14:14" x14ac:dyDescent="0.2">
      <c r="N1297" s="18"/>
    </row>
    <row r="1298" spans="14:14" x14ac:dyDescent="0.2">
      <c r="N1298" s="18"/>
    </row>
    <row r="1299" spans="14:14" x14ac:dyDescent="0.2">
      <c r="N1299" s="18"/>
    </row>
    <row r="1300" spans="14:14" x14ac:dyDescent="0.2">
      <c r="N1300" s="18"/>
    </row>
    <row r="1301" spans="14:14" x14ac:dyDescent="0.2">
      <c r="N1301" s="18"/>
    </row>
    <row r="1302" spans="14:14" x14ac:dyDescent="0.2">
      <c r="N1302" s="18"/>
    </row>
    <row r="1303" spans="14:14" x14ac:dyDescent="0.2">
      <c r="N1303" s="18"/>
    </row>
    <row r="1304" spans="14:14" x14ac:dyDescent="0.2">
      <c r="N1304" s="18"/>
    </row>
    <row r="1305" spans="14:14" x14ac:dyDescent="0.2">
      <c r="N1305" s="18"/>
    </row>
    <row r="1306" spans="14:14" x14ac:dyDescent="0.2">
      <c r="N1306" s="18"/>
    </row>
    <row r="1307" spans="14:14" x14ac:dyDescent="0.2">
      <c r="N1307" s="18"/>
    </row>
    <row r="1308" spans="14:14" x14ac:dyDescent="0.2">
      <c r="N1308" s="18"/>
    </row>
    <row r="1309" spans="14:14" x14ac:dyDescent="0.2">
      <c r="N1309" s="18"/>
    </row>
    <row r="1310" spans="14:14" x14ac:dyDescent="0.2">
      <c r="N1310" s="18"/>
    </row>
    <row r="1311" spans="14:14" x14ac:dyDescent="0.2">
      <c r="N1311" s="18"/>
    </row>
    <row r="1312" spans="14:14" x14ac:dyDescent="0.2">
      <c r="N1312" s="18"/>
    </row>
    <row r="1313" spans="14:14" x14ac:dyDescent="0.2">
      <c r="N1313" s="18"/>
    </row>
    <row r="1314" spans="14:14" x14ac:dyDescent="0.2">
      <c r="N1314" s="18"/>
    </row>
    <row r="1315" spans="14:14" x14ac:dyDescent="0.2">
      <c r="N1315" s="18"/>
    </row>
    <row r="1316" spans="14:14" x14ac:dyDescent="0.2">
      <c r="N1316" s="18"/>
    </row>
    <row r="1317" spans="14:14" x14ac:dyDescent="0.2">
      <c r="N1317" s="18"/>
    </row>
    <row r="1318" spans="14:14" x14ac:dyDescent="0.2">
      <c r="N1318" s="18"/>
    </row>
    <row r="1319" spans="14:14" x14ac:dyDescent="0.2">
      <c r="N1319" s="18"/>
    </row>
    <row r="1320" spans="14:14" x14ac:dyDescent="0.2">
      <c r="N1320" s="18"/>
    </row>
    <row r="1321" spans="14:14" x14ac:dyDescent="0.2">
      <c r="N1321" s="18"/>
    </row>
    <row r="1322" spans="14:14" x14ac:dyDescent="0.2">
      <c r="N1322" s="18"/>
    </row>
    <row r="1323" spans="14:14" x14ac:dyDescent="0.2">
      <c r="N1323" s="18"/>
    </row>
    <row r="1324" spans="14:14" x14ac:dyDescent="0.2">
      <c r="N1324" s="18"/>
    </row>
    <row r="1325" spans="14:14" x14ac:dyDescent="0.2">
      <c r="N1325" s="18"/>
    </row>
    <row r="1326" spans="14:14" x14ac:dyDescent="0.2">
      <c r="N1326" s="18"/>
    </row>
    <row r="1327" spans="14:14" x14ac:dyDescent="0.2">
      <c r="N1327" s="18"/>
    </row>
    <row r="1328" spans="14:14" x14ac:dyDescent="0.2">
      <c r="N1328" s="18"/>
    </row>
    <row r="1329" spans="14:14" x14ac:dyDescent="0.2">
      <c r="N1329" s="18"/>
    </row>
    <row r="1330" spans="14:14" x14ac:dyDescent="0.2">
      <c r="N1330" s="18"/>
    </row>
    <row r="1331" spans="14:14" x14ac:dyDescent="0.2">
      <c r="N1331" s="18"/>
    </row>
    <row r="1332" spans="14:14" x14ac:dyDescent="0.2">
      <c r="N1332" s="18"/>
    </row>
    <row r="1333" spans="14:14" x14ac:dyDescent="0.2">
      <c r="N1333" s="18"/>
    </row>
    <row r="1334" spans="14:14" x14ac:dyDescent="0.2">
      <c r="N1334" s="18"/>
    </row>
    <row r="1335" spans="14:14" x14ac:dyDescent="0.2">
      <c r="N1335" s="18"/>
    </row>
    <row r="1336" spans="14:14" x14ac:dyDescent="0.2">
      <c r="N1336" s="18"/>
    </row>
    <row r="1337" spans="14:14" x14ac:dyDescent="0.2">
      <c r="N1337" s="18"/>
    </row>
    <row r="1338" spans="14:14" x14ac:dyDescent="0.2">
      <c r="N1338" s="18"/>
    </row>
    <row r="1339" spans="14:14" x14ac:dyDescent="0.2">
      <c r="N1339" s="18"/>
    </row>
    <row r="1340" spans="14:14" x14ac:dyDescent="0.2">
      <c r="N1340" s="18"/>
    </row>
    <row r="1341" spans="14:14" x14ac:dyDescent="0.2">
      <c r="N1341" s="18"/>
    </row>
    <row r="1342" spans="14:14" x14ac:dyDescent="0.2">
      <c r="N1342" s="18"/>
    </row>
    <row r="1343" spans="14:14" x14ac:dyDescent="0.2">
      <c r="N1343" s="18"/>
    </row>
    <row r="1344" spans="14:14" x14ac:dyDescent="0.2">
      <c r="N1344" s="18"/>
    </row>
    <row r="1345" spans="14:14" x14ac:dyDescent="0.2">
      <c r="N1345" s="18"/>
    </row>
    <row r="1346" spans="14:14" x14ac:dyDescent="0.2">
      <c r="N1346" s="18"/>
    </row>
    <row r="1347" spans="14:14" x14ac:dyDescent="0.2">
      <c r="N1347" s="18"/>
    </row>
    <row r="1348" spans="14:14" x14ac:dyDescent="0.2">
      <c r="N1348" s="18"/>
    </row>
    <row r="1349" spans="14:14" x14ac:dyDescent="0.2">
      <c r="N1349" s="18"/>
    </row>
    <row r="1350" spans="14:14" x14ac:dyDescent="0.2">
      <c r="N1350" s="18"/>
    </row>
    <row r="1351" spans="14:14" x14ac:dyDescent="0.2">
      <c r="N1351" s="18"/>
    </row>
    <row r="1352" spans="14:14" x14ac:dyDescent="0.2">
      <c r="N1352" s="18"/>
    </row>
    <row r="1353" spans="14:14" x14ac:dyDescent="0.2">
      <c r="N1353" s="18"/>
    </row>
    <row r="1354" spans="14:14" x14ac:dyDescent="0.2">
      <c r="N1354" s="18"/>
    </row>
    <row r="1355" spans="14:14" x14ac:dyDescent="0.2">
      <c r="N1355" s="18"/>
    </row>
    <row r="1356" spans="14:14" x14ac:dyDescent="0.2">
      <c r="N1356" s="18"/>
    </row>
    <row r="1357" spans="14:14" x14ac:dyDescent="0.2">
      <c r="N1357" s="18"/>
    </row>
    <row r="1358" spans="14:14" x14ac:dyDescent="0.2">
      <c r="N1358" s="18"/>
    </row>
    <row r="1359" spans="14:14" x14ac:dyDescent="0.2">
      <c r="N1359" s="18"/>
    </row>
    <row r="1360" spans="14:14" x14ac:dyDescent="0.2">
      <c r="N1360" s="18"/>
    </row>
    <row r="1361" spans="14:14" x14ac:dyDescent="0.2">
      <c r="N1361" s="18"/>
    </row>
    <row r="1362" spans="14:14" x14ac:dyDescent="0.2">
      <c r="N1362" s="18"/>
    </row>
    <row r="1363" spans="14:14" x14ac:dyDescent="0.2">
      <c r="N1363" s="18"/>
    </row>
    <row r="1364" spans="14:14" x14ac:dyDescent="0.2">
      <c r="N1364" s="18"/>
    </row>
    <row r="1365" spans="14:14" x14ac:dyDescent="0.2">
      <c r="N1365" s="18"/>
    </row>
    <row r="1366" spans="14:14" x14ac:dyDescent="0.2">
      <c r="N1366" s="18"/>
    </row>
    <row r="1367" spans="14:14" x14ac:dyDescent="0.2">
      <c r="N1367" s="18"/>
    </row>
    <row r="1368" spans="14:14" x14ac:dyDescent="0.2">
      <c r="N1368" s="18"/>
    </row>
    <row r="1369" spans="14:14" x14ac:dyDescent="0.2">
      <c r="N1369" s="18"/>
    </row>
    <row r="1370" spans="14:14" x14ac:dyDescent="0.2">
      <c r="N1370" s="18"/>
    </row>
    <row r="1371" spans="14:14" x14ac:dyDescent="0.2">
      <c r="N1371" s="18"/>
    </row>
    <row r="1372" spans="14:14" x14ac:dyDescent="0.2">
      <c r="N1372" s="18"/>
    </row>
    <row r="1373" spans="14:14" x14ac:dyDescent="0.2">
      <c r="N1373" s="18"/>
    </row>
    <row r="1374" spans="14:14" x14ac:dyDescent="0.2">
      <c r="N1374" s="18"/>
    </row>
    <row r="1375" spans="14:14" x14ac:dyDescent="0.2">
      <c r="N1375" s="18"/>
    </row>
    <row r="1376" spans="14:14" x14ac:dyDescent="0.2">
      <c r="N1376" s="18"/>
    </row>
    <row r="1377" spans="14:14" x14ac:dyDescent="0.2">
      <c r="N1377" s="18"/>
    </row>
    <row r="1378" spans="14:14" x14ac:dyDescent="0.2">
      <c r="N1378" s="18"/>
    </row>
    <row r="1379" spans="14:14" x14ac:dyDescent="0.2">
      <c r="N1379" s="18"/>
    </row>
    <row r="1380" spans="14:14" x14ac:dyDescent="0.2">
      <c r="N1380" s="18"/>
    </row>
    <row r="1381" spans="14:14" x14ac:dyDescent="0.2">
      <c r="N1381" s="18"/>
    </row>
    <row r="1382" spans="14:14" x14ac:dyDescent="0.2">
      <c r="N1382" s="18"/>
    </row>
    <row r="1383" spans="14:14" x14ac:dyDescent="0.2">
      <c r="N1383" s="18"/>
    </row>
    <row r="1384" spans="14:14" x14ac:dyDescent="0.2">
      <c r="N1384" s="18"/>
    </row>
    <row r="1385" spans="14:14" x14ac:dyDescent="0.2">
      <c r="N1385" s="18"/>
    </row>
    <row r="1386" spans="14:14" x14ac:dyDescent="0.2">
      <c r="N1386" s="18"/>
    </row>
    <row r="1387" spans="14:14" x14ac:dyDescent="0.2">
      <c r="N1387" s="18"/>
    </row>
    <row r="1388" spans="14:14" x14ac:dyDescent="0.2">
      <c r="N1388" s="18"/>
    </row>
    <row r="1389" spans="14:14" x14ac:dyDescent="0.2">
      <c r="N1389" s="18"/>
    </row>
    <row r="1390" spans="14:14" x14ac:dyDescent="0.2">
      <c r="N1390" s="18"/>
    </row>
    <row r="1391" spans="14:14" x14ac:dyDescent="0.2">
      <c r="N1391" s="18"/>
    </row>
    <row r="1392" spans="14:14" x14ac:dyDescent="0.2">
      <c r="N1392" s="18"/>
    </row>
    <row r="1393" spans="14:14" x14ac:dyDescent="0.2">
      <c r="N1393" s="18"/>
    </row>
    <row r="1394" spans="14:14" x14ac:dyDescent="0.2">
      <c r="N1394" s="18"/>
    </row>
    <row r="1395" spans="14:14" x14ac:dyDescent="0.2">
      <c r="N1395" s="18"/>
    </row>
    <row r="1396" spans="14:14" x14ac:dyDescent="0.2">
      <c r="N1396" s="18"/>
    </row>
    <row r="1397" spans="14:14" x14ac:dyDescent="0.2">
      <c r="N1397" s="18"/>
    </row>
    <row r="1398" spans="14:14" x14ac:dyDescent="0.2">
      <c r="N1398" s="18"/>
    </row>
    <row r="1399" spans="14:14" x14ac:dyDescent="0.2">
      <c r="N1399" s="18"/>
    </row>
    <row r="1400" spans="14:14" x14ac:dyDescent="0.2">
      <c r="N1400" s="18"/>
    </row>
    <row r="1401" spans="14:14" x14ac:dyDescent="0.2">
      <c r="N1401" s="18"/>
    </row>
    <row r="1402" spans="14:14" x14ac:dyDescent="0.2">
      <c r="N1402" s="18"/>
    </row>
    <row r="1403" spans="14:14" x14ac:dyDescent="0.2">
      <c r="N1403" s="18"/>
    </row>
    <row r="1404" spans="14:14" x14ac:dyDescent="0.2">
      <c r="N1404" s="18"/>
    </row>
    <row r="1405" spans="14:14" x14ac:dyDescent="0.2">
      <c r="N1405" s="18"/>
    </row>
    <row r="1406" spans="14:14" x14ac:dyDescent="0.2">
      <c r="N1406" s="18"/>
    </row>
    <row r="1407" spans="14:14" x14ac:dyDescent="0.2">
      <c r="N1407" s="18"/>
    </row>
    <row r="1408" spans="14:14" x14ac:dyDescent="0.2">
      <c r="N1408" s="18"/>
    </row>
    <row r="1409" spans="14:14" x14ac:dyDescent="0.2">
      <c r="N1409" s="18"/>
    </row>
    <row r="1410" spans="14:14" x14ac:dyDescent="0.2">
      <c r="N1410" s="18"/>
    </row>
    <row r="1411" spans="14:14" x14ac:dyDescent="0.2">
      <c r="N1411" s="18"/>
    </row>
    <row r="1412" spans="14:14" x14ac:dyDescent="0.2">
      <c r="N1412" s="18"/>
    </row>
    <row r="1413" spans="14:14" x14ac:dyDescent="0.2">
      <c r="N1413" s="18"/>
    </row>
    <row r="1414" spans="14:14" x14ac:dyDescent="0.2">
      <c r="N1414" s="18"/>
    </row>
    <row r="1415" spans="14:14" x14ac:dyDescent="0.2">
      <c r="N1415" s="18"/>
    </row>
    <row r="1416" spans="14:14" x14ac:dyDescent="0.2">
      <c r="N1416" s="18"/>
    </row>
    <row r="1417" spans="14:14" x14ac:dyDescent="0.2">
      <c r="N1417" s="18"/>
    </row>
    <row r="1418" spans="14:14" x14ac:dyDescent="0.2">
      <c r="N1418" s="18"/>
    </row>
    <row r="1419" spans="14:14" x14ac:dyDescent="0.2">
      <c r="N1419" s="18"/>
    </row>
    <row r="1420" spans="14:14" x14ac:dyDescent="0.2">
      <c r="N1420" s="18"/>
    </row>
    <row r="1421" spans="14:14" x14ac:dyDescent="0.2">
      <c r="N1421" s="18"/>
    </row>
    <row r="1422" spans="14:14" x14ac:dyDescent="0.2">
      <c r="N1422" s="18"/>
    </row>
    <row r="1423" spans="14:14" x14ac:dyDescent="0.2">
      <c r="N1423" s="18"/>
    </row>
    <row r="1424" spans="14:14" x14ac:dyDescent="0.2">
      <c r="N1424" s="18"/>
    </row>
    <row r="1425" spans="14:14" x14ac:dyDescent="0.2">
      <c r="N1425" s="18"/>
    </row>
    <row r="1426" spans="14:14" x14ac:dyDescent="0.2">
      <c r="N1426" s="18"/>
    </row>
    <row r="1427" spans="14:14" x14ac:dyDescent="0.2">
      <c r="N1427" s="18"/>
    </row>
    <row r="1428" spans="14:14" x14ac:dyDescent="0.2">
      <c r="N1428" s="18"/>
    </row>
    <row r="1429" spans="14:14" x14ac:dyDescent="0.2">
      <c r="N1429" s="18"/>
    </row>
    <row r="1430" spans="14:14" x14ac:dyDescent="0.2">
      <c r="N1430" s="18"/>
    </row>
    <row r="1431" spans="14:14" x14ac:dyDescent="0.2">
      <c r="N1431" s="18"/>
    </row>
    <row r="1432" spans="14:14" x14ac:dyDescent="0.2">
      <c r="N1432" s="18"/>
    </row>
    <row r="1433" spans="14:14" x14ac:dyDescent="0.2">
      <c r="N1433" s="18"/>
    </row>
    <row r="1434" spans="14:14" x14ac:dyDescent="0.2">
      <c r="N1434" s="18"/>
    </row>
    <row r="1435" spans="14:14" x14ac:dyDescent="0.2">
      <c r="N1435" s="18"/>
    </row>
    <row r="1436" spans="14:14" x14ac:dyDescent="0.2">
      <c r="N1436" s="18"/>
    </row>
    <row r="1437" spans="14:14" x14ac:dyDescent="0.2">
      <c r="N1437" s="18"/>
    </row>
    <row r="1438" spans="14:14" x14ac:dyDescent="0.2">
      <c r="N1438" s="18"/>
    </row>
    <row r="1439" spans="14:14" x14ac:dyDescent="0.2">
      <c r="N1439" s="18"/>
    </row>
    <row r="1440" spans="14:14" x14ac:dyDescent="0.2">
      <c r="N1440" s="18"/>
    </row>
    <row r="1441" spans="14:14" x14ac:dyDescent="0.2">
      <c r="N1441" s="18"/>
    </row>
    <row r="1442" spans="14:14" x14ac:dyDescent="0.2">
      <c r="N1442" s="18"/>
    </row>
    <row r="1443" spans="14:14" x14ac:dyDescent="0.2">
      <c r="N1443" s="18"/>
    </row>
    <row r="1444" spans="14:14" x14ac:dyDescent="0.2">
      <c r="N1444" s="18"/>
    </row>
    <row r="1445" spans="14:14" x14ac:dyDescent="0.2">
      <c r="N1445" s="18"/>
    </row>
    <row r="1446" spans="14:14" x14ac:dyDescent="0.2">
      <c r="N1446" s="18"/>
    </row>
    <row r="1447" spans="14:14" x14ac:dyDescent="0.2">
      <c r="N1447" s="18"/>
    </row>
    <row r="1448" spans="14:14" x14ac:dyDescent="0.2">
      <c r="N1448" s="18"/>
    </row>
    <row r="1449" spans="14:14" x14ac:dyDescent="0.2">
      <c r="N1449" s="18"/>
    </row>
    <row r="1450" spans="14:14" x14ac:dyDescent="0.2">
      <c r="N1450" s="18"/>
    </row>
    <row r="1451" spans="14:14" x14ac:dyDescent="0.2">
      <c r="N1451" s="18"/>
    </row>
    <row r="1452" spans="14:14" x14ac:dyDescent="0.2">
      <c r="N1452" s="18"/>
    </row>
    <row r="1453" spans="14:14" x14ac:dyDescent="0.2">
      <c r="N1453" s="18"/>
    </row>
    <row r="1454" spans="14:14" x14ac:dyDescent="0.2">
      <c r="N1454" s="18"/>
    </row>
    <row r="1455" spans="14:14" x14ac:dyDescent="0.2">
      <c r="N1455" s="18"/>
    </row>
    <row r="1456" spans="14:14" x14ac:dyDescent="0.2">
      <c r="N1456" s="18"/>
    </row>
    <row r="1457" spans="14:14" x14ac:dyDescent="0.2">
      <c r="N1457" s="18"/>
    </row>
    <row r="1458" spans="14:14" x14ac:dyDescent="0.2">
      <c r="N1458" s="18"/>
    </row>
    <row r="1459" spans="14:14" x14ac:dyDescent="0.2">
      <c r="N1459" s="18"/>
    </row>
    <row r="1460" spans="14:14" x14ac:dyDescent="0.2">
      <c r="N1460" s="18"/>
    </row>
    <row r="1461" spans="14:14" x14ac:dyDescent="0.2">
      <c r="N1461" s="18"/>
    </row>
    <row r="1462" spans="14:14" x14ac:dyDescent="0.2">
      <c r="N1462" s="18"/>
    </row>
    <row r="1463" spans="14:14" x14ac:dyDescent="0.2">
      <c r="N1463" s="18"/>
    </row>
    <row r="1464" spans="14:14" x14ac:dyDescent="0.2">
      <c r="N1464" s="18"/>
    </row>
    <row r="1465" spans="14:14" x14ac:dyDescent="0.2">
      <c r="N1465" s="18"/>
    </row>
    <row r="1466" spans="14:14" x14ac:dyDescent="0.2">
      <c r="N1466" s="18"/>
    </row>
    <row r="1467" spans="14:14" x14ac:dyDescent="0.2">
      <c r="N1467" s="18"/>
    </row>
    <row r="1468" spans="14:14" x14ac:dyDescent="0.2">
      <c r="N1468" s="18"/>
    </row>
    <row r="1469" spans="14:14" x14ac:dyDescent="0.2">
      <c r="N1469" s="18"/>
    </row>
    <row r="1470" spans="14:14" x14ac:dyDescent="0.2">
      <c r="N1470" s="18"/>
    </row>
    <row r="1471" spans="14:14" x14ac:dyDescent="0.2">
      <c r="N1471" s="18"/>
    </row>
    <row r="1472" spans="14:14" x14ac:dyDescent="0.2">
      <c r="N1472" s="18"/>
    </row>
    <row r="1473" spans="14:14" x14ac:dyDescent="0.2">
      <c r="N1473" s="18"/>
    </row>
    <row r="1474" spans="14:14" x14ac:dyDescent="0.2">
      <c r="N1474" s="18"/>
    </row>
    <row r="1475" spans="14:14" x14ac:dyDescent="0.2">
      <c r="N1475" s="18"/>
    </row>
    <row r="1476" spans="14:14" x14ac:dyDescent="0.2">
      <c r="N1476" s="18"/>
    </row>
    <row r="1477" spans="14:14" x14ac:dyDescent="0.2">
      <c r="N1477" s="18"/>
    </row>
    <row r="1478" spans="14:14" x14ac:dyDescent="0.2">
      <c r="N1478" s="18"/>
    </row>
    <row r="1479" spans="14:14" x14ac:dyDescent="0.2">
      <c r="N1479" s="18"/>
    </row>
    <row r="1480" spans="14:14" x14ac:dyDescent="0.2">
      <c r="N1480" s="18"/>
    </row>
    <row r="1481" spans="14:14" x14ac:dyDescent="0.2">
      <c r="N1481" s="18"/>
    </row>
    <row r="1482" spans="14:14" x14ac:dyDescent="0.2">
      <c r="N1482" s="18"/>
    </row>
    <row r="1483" spans="14:14" x14ac:dyDescent="0.2">
      <c r="N1483" s="18"/>
    </row>
    <row r="1484" spans="14:14" x14ac:dyDescent="0.2">
      <c r="N1484" s="18"/>
    </row>
    <row r="1485" spans="14:14" x14ac:dyDescent="0.2">
      <c r="N1485" s="18"/>
    </row>
    <row r="1486" spans="14:14" x14ac:dyDescent="0.2">
      <c r="N1486" s="18"/>
    </row>
    <row r="1487" spans="14:14" x14ac:dyDescent="0.2">
      <c r="N1487" s="18"/>
    </row>
    <row r="1488" spans="14:14" x14ac:dyDescent="0.2">
      <c r="N1488" s="18"/>
    </row>
    <row r="1489" spans="14:14" x14ac:dyDescent="0.2">
      <c r="N1489" s="18"/>
    </row>
    <row r="1490" spans="14:14" x14ac:dyDescent="0.2">
      <c r="N1490" s="18"/>
    </row>
    <row r="1491" spans="14:14" x14ac:dyDescent="0.2">
      <c r="N1491" s="18"/>
    </row>
    <row r="1492" spans="14:14" x14ac:dyDescent="0.2">
      <c r="N1492" s="18"/>
    </row>
    <row r="1493" spans="14:14" x14ac:dyDescent="0.2">
      <c r="N1493" s="18"/>
    </row>
    <row r="1494" spans="14:14" x14ac:dyDescent="0.2">
      <c r="N1494" s="18"/>
    </row>
    <row r="1495" spans="14:14" x14ac:dyDescent="0.2">
      <c r="N1495" s="18"/>
    </row>
    <row r="1496" spans="14:14" x14ac:dyDescent="0.2">
      <c r="N1496" s="18"/>
    </row>
    <row r="1497" spans="14:14" x14ac:dyDescent="0.2">
      <c r="N1497" s="18"/>
    </row>
    <row r="1498" spans="14:14" x14ac:dyDescent="0.2">
      <c r="N1498" s="18"/>
    </row>
    <row r="1499" spans="14:14" x14ac:dyDescent="0.2">
      <c r="N1499" s="18"/>
    </row>
    <row r="1500" spans="14:14" x14ac:dyDescent="0.2">
      <c r="N1500" s="18"/>
    </row>
    <row r="1501" spans="14:14" x14ac:dyDescent="0.2">
      <c r="N1501" s="18"/>
    </row>
    <row r="1502" spans="14:14" x14ac:dyDescent="0.2">
      <c r="N1502" s="18"/>
    </row>
    <row r="1503" spans="14:14" x14ac:dyDescent="0.2">
      <c r="N1503" s="18"/>
    </row>
    <row r="1504" spans="14:14" x14ac:dyDescent="0.2">
      <c r="N1504" s="18"/>
    </row>
    <row r="1505" spans="14:14" x14ac:dyDescent="0.2">
      <c r="N1505" s="18"/>
    </row>
    <row r="1506" spans="14:14" x14ac:dyDescent="0.2">
      <c r="N1506" s="18"/>
    </row>
    <row r="1507" spans="14:14" x14ac:dyDescent="0.2">
      <c r="N1507" s="18"/>
    </row>
    <row r="1508" spans="14:14" x14ac:dyDescent="0.2">
      <c r="N1508" s="18"/>
    </row>
    <row r="1509" spans="14:14" x14ac:dyDescent="0.2">
      <c r="N1509" s="18"/>
    </row>
    <row r="1510" spans="14:14" x14ac:dyDescent="0.2">
      <c r="N1510" s="18"/>
    </row>
    <row r="1511" spans="14:14" x14ac:dyDescent="0.2">
      <c r="N1511" s="18"/>
    </row>
    <row r="1512" spans="14:14" x14ac:dyDescent="0.2">
      <c r="N1512" s="18"/>
    </row>
    <row r="1513" spans="14:14" x14ac:dyDescent="0.2">
      <c r="N1513" s="18"/>
    </row>
    <row r="1514" spans="14:14" x14ac:dyDescent="0.2">
      <c r="N1514" s="18"/>
    </row>
    <row r="1515" spans="14:14" x14ac:dyDescent="0.2">
      <c r="N1515" s="18"/>
    </row>
    <row r="1516" spans="14:14" x14ac:dyDescent="0.2">
      <c r="N1516" s="18"/>
    </row>
    <row r="1517" spans="14:14" x14ac:dyDescent="0.2">
      <c r="N1517" s="18"/>
    </row>
    <row r="1518" spans="14:14" x14ac:dyDescent="0.2">
      <c r="N1518" s="18"/>
    </row>
    <row r="1519" spans="14:14" x14ac:dyDescent="0.2">
      <c r="N1519" s="18"/>
    </row>
    <row r="1520" spans="14:14" x14ac:dyDescent="0.2">
      <c r="N1520" s="18"/>
    </row>
    <row r="1521" spans="14:14" x14ac:dyDescent="0.2">
      <c r="N1521" s="18"/>
    </row>
    <row r="1522" spans="14:14" x14ac:dyDescent="0.2">
      <c r="N1522" s="18"/>
    </row>
    <row r="1523" spans="14:14" x14ac:dyDescent="0.2">
      <c r="N1523" s="18"/>
    </row>
    <row r="1524" spans="14:14" x14ac:dyDescent="0.2">
      <c r="N1524" s="18"/>
    </row>
    <row r="1525" spans="14:14" x14ac:dyDescent="0.2">
      <c r="N1525" s="18"/>
    </row>
    <row r="1526" spans="14:14" x14ac:dyDescent="0.2">
      <c r="N1526" s="18"/>
    </row>
    <row r="1527" spans="14:14" x14ac:dyDescent="0.2">
      <c r="N1527" s="18"/>
    </row>
    <row r="1528" spans="14:14" x14ac:dyDescent="0.2">
      <c r="N1528" s="18"/>
    </row>
    <row r="1529" spans="14:14" x14ac:dyDescent="0.2">
      <c r="N1529" s="18"/>
    </row>
    <row r="1530" spans="14:14" x14ac:dyDescent="0.2">
      <c r="N1530" s="18"/>
    </row>
    <row r="1531" spans="14:14" x14ac:dyDescent="0.2">
      <c r="N1531" s="18"/>
    </row>
    <row r="1532" spans="14:14" x14ac:dyDescent="0.2">
      <c r="N1532" s="18"/>
    </row>
    <row r="1533" spans="14:14" x14ac:dyDescent="0.2">
      <c r="N1533" s="18"/>
    </row>
    <row r="1534" spans="14:14" x14ac:dyDescent="0.2">
      <c r="N1534" s="18"/>
    </row>
    <row r="1535" spans="14:14" x14ac:dyDescent="0.2">
      <c r="N1535" s="18"/>
    </row>
    <row r="1536" spans="14:14" x14ac:dyDescent="0.2">
      <c r="N1536" s="18"/>
    </row>
    <row r="1537" spans="14:14" x14ac:dyDescent="0.2">
      <c r="N1537" s="18"/>
    </row>
    <row r="1538" spans="14:14" x14ac:dyDescent="0.2">
      <c r="N1538" s="18"/>
    </row>
    <row r="1539" spans="14:14" x14ac:dyDescent="0.2">
      <c r="N1539" s="18"/>
    </row>
    <row r="1540" spans="14:14" x14ac:dyDescent="0.2">
      <c r="N1540" s="18"/>
    </row>
    <row r="1541" spans="14:14" x14ac:dyDescent="0.2">
      <c r="N1541" s="18"/>
    </row>
    <row r="1542" spans="14:14" x14ac:dyDescent="0.2">
      <c r="N1542" s="18"/>
    </row>
    <row r="1543" spans="14:14" x14ac:dyDescent="0.2">
      <c r="N1543" s="18"/>
    </row>
    <row r="1544" spans="14:14" x14ac:dyDescent="0.2">
      <c r="N1544" s="18"/>
    </row>
    <row r="1545" spans="14:14" x14ac:dyDescent="0.2">
      <c r="N1545" s="18"/>
    </row>
    <row r="1546" spans="14:14" x14ac:dyDescent="0.2">
      <c r="N1546" s="18"/>
    </row>
    <row r="1547" spans="14:14" x14ac:dyDescent="0.2">
      <c r="N1547" s="18"/>
    </row>
    <row r="1548" spans="14:14" x14ac:dyDescent="0.2">
      <c r="N1548" s="18"/>
    </row>
    <row r="1549" spans="14:14" x14ac:dyDescent="0.2">
      <c r="N1549" s="18"/>
    </row>
    <row r="1550" spans="14:14" x14ac:dyDescent="0.2">
      <c r="N1550" s="18"/>
    </row>
    <row r="1551" spans="14:14" x14ac:dyDescent="0.2">
      <c r="N1551" s="18"/>
    </row>
    <row r="1552" spans="14:14" x14ac:dyDescent="0.2">
      <c r="N1552" s="18"/>
    </row>
    <row r="1553" spans="14:14" x14ac:dyDescent="0.2">
      <c r="N1553" s="18"/>
    </row>
    <row r="1554" spans="14:14" x14ac:dyDescent="0.2">
      <c r="N1554" s="18"/>
    </row>
    <row r="1555" spans="14:14" x14ac:dyDescent="0.2">
      <c r="N1555" s="18"/>
    </row>
    <row r="1556" spans="14:14" x14ac:dyDescent="0.2">
      <c r="N1556" s="18"/>
    </row>
    <row r="1557" spans="14:14" x14ac:dyDescent="0.2">
      <c r="N1557" s="18"/>
    </row>
    <row r="1558" spans="14:14" x14ac:dyDescent="0.2">
      <c r="N1558" s="18"/>
    </row>
    <row r="1559" spans="14:14" x14ac:dyDescent="0.2">
      <c r="N1559" s="18"/>
    </row>
    <row r="1560" spans="14:14" x14ac:dyDescent="0.2">
      <c r="N1560" s="18"/>
    </row>
    <row r="1561" spans="14:14" x14ac:dyDescent="0.2">
      <c r="N1561" s="18"/>
    </row>
    <row r="1562" spans="14:14" x14ac:dyDescent="0.2">
      <c r="N1562" s="18"/>
    </row>
    <row r="1563" spans="14:14" x14ac:dyDescent="0.2">
      <c r="N1563" s="18"/>
    </row>
    <row r="1564" spans="14:14" x14ac:dyDescent="0.2">
      <c r="N1564" s="18"/>
    </row>
    <row r="1565" spans="14:14" x14ac:dyDescent="0.2">
      <c r="N1565" s="18"/>
    </row>
    <row r="1566" spans="14:14" x14ac:dyDescent="0.2">
      <c r="N1566" s="18"/>
    </row>
    <row r="1567" spans="14:14" x14ac:dyDescent="0.2">
      <c r="N1567" s="18"/>
    </row>
    <row r="1568" spans="14:14" x14ac:dyDescent="0.2">
      <c r="N1568" s="18"/>
    </row>
    <row r="1569" spans="14:14" x14ac:dyDescent="0.2">
      <c r="N1569" s="18"/>
    </row>
    <row r="1570" spans="14:14" x14ac:dyDescent="0.2">
      <c r="N1570" s="18"/>
    </row>
    <row r="1571" spans="14:14" x14ac:dyDescent="0.2">
      <c r="N1571" s="18"/>
    </row>
    <row r="1572" spans="14:14" x14ac:dyDescent="0.2">
      <c r="N1572" s="18"/>
    </row>
    <row r="1573" spans="14:14" x14ac:dyDescent="0.2">
      <c r="N1573" s="18"/>
    </row>
    <row r="1574" spans="14:14" x14ac:dyDescent="0.2">
      <c r="N1574" s="18"/>
    </row>
    <row r="1575" spans="14:14" x14ac:dyDescent="0.2">
      <c r="N1575" s="18"/>
    </row>
    <row r="1576" spans="14:14" x14ac:dyDescent="0.2">
      <c r="N1576" s="18"/>
    </row>
    <row r="1577" spans="14:14" x14ac:dyDescent="0.2">
      <c r="N1577" s="18"/>
    </row>
    <row r="1578" spans="14:14" x14ac:dyDescent="0.2">
      <c r="N1578" s="18"/>
    </row>
    <row r="1579" spans="14:14" x14ac:dyDescent="0.2">
      <c r="N1579" s="18"/>
    </row>
    <row r="1580" spans="14:14" x14ac:dyDescent="0.2">
      <c r="N1580" s="18"/>
    </row>
    <row r="1581" spans="14:14" x14ac:dyDescent="0.2">
      <c r="N1581" s="18"/>
    </row>
    <row r="1582" spans="14:14" x14ac:dyDescent="0.2">
      <c r="N1582" s="18"/>
    </row>
    <row r="1583" spans="14:14" x14ac:dyDescent="0.2">
      <c r="N1583" s="18"/>
    </row>
    <row r="1584" spans="14:14" x14ac:dyDescent="0.2">
      <c r="N1584" s="18"/>
    </row>
    <row r="1585" spans="14:14" x14ac:dyDescent="0.2">
      <c r="N1585" s="18"/>
    </row>
    <row r="1586" spans="14:14" x14ac:dyDescent="0.2">
      <c r="N1586" s="18"/>
    </row>
    <row r="1587" spans="14:14" x14ac:dyDescent="0.2">
      <c r="N1587" s="18"/>
    </row>
    <row r="1588" spans="14:14" x14ac:dyDescent="0.2">
      <c r="N1588" s="18"/>
    </row>
    <row r="1589" spans="14:14" x14ac:dyDescent="0.2">
      <c r="N1589" s="18"/>
    </row>
    <row r="1590" spans="14:14" x14ac:dyDescent="0.2">
      <c r="N1590" s="18"/>
    </row>
    <row r="1591" spans="14:14" x14ac:dyDescent="0.2">
      <c r="N1591" s="18"/>
    </row>
    <row r="1592" spans="14:14" x14ac:dyDescent="0.2">
      <c r="N1592" s="18"/>
    </row>
    <row r="1593" spans="14:14" x14ac:dyDescent="0.2">
      <c r="N1593" s="18"/>
    </row>
    <row r="1594" spans="14:14" x14ac:dyDescent="0.2">
      <c r="N1594" s="18"/>
    </row>
    <row r="1595" spans="14:14" x14ac:dyDescent="0.2">
      <c r="N1595" s="18"/>
    </row>
    <row r="1596" spans="14:14" x14ac:dyDescent="0.2">
      <c r="N1596" s="18"/>
    </row>
    <row r="1597" spans="14:14" x14ac:dyDescent="0.2">
      <c r="N1597" s="18"/>
    </row>
    <row r="1598" spans="14:14" x14ac:dyDescent="0.2">
      <c r="N1598" s="18"/>
    </row>
    <row r="1599" spans="14:14" x14ac:dyDescent="0.2">
      <c r="N1599" s="18"/>
    </row>
    <row r="1600" spans="14:14" x14ac:dyDescent="0.2">
      <c r="N1600" s="18"/>
    </row>
    <row r="1601" spans="14:14" x14ac:dyDescent="0.2">
      <c r="N1601" s="18"/>
    </row>
    <row r="1602" spans="14:14" x14ac:dyDescent="0.2">
      <c r="N1602" s="18"/>
    </row>
    <row r="1603" spans="14:14" x14ac:dyDescent="0.2">
      <c r="N1603" s="18"/>
    </row>
    <row r="1604" spans="14:14" x14ac:dyDescent="0.2">
      <c r="N1604" s="18"/>
    </row>
    <row r="1605" spans="14:14" x14ac:dyDescent="0.2">
      <c r="N1605" s="18"/>
    </row>
    <row r="1606" spans="14:14" x14ac:dyDescent="0.2">
      <c r="N1606" s="18"/>
    </row>
    <row r="1607" spans="14:14" x14ac:dyDescent="0.2">
      <c r="N1607" s="18"/>
    </row>
    <row r="1608" spans="14:14" x14ac:dyDescent="0.2">
      <c r="N1608" s="18"/>
    </row>
    <row r="1609" spans="14:14" x14ac:dyDescent="0.2">
      <c r="N1609" s="18"/>
    </row>
    <row r="1610" spans="14:14" x14ac:dyDescent="0.2">
      <c r="N1610" s="18"/>
    </row>
    <row r="1611" spans="14:14" x14ac:dyDescent="0.2">
      <c r="N1611" s="18"/>
    </row>
    <row r="1612" spans="14:14" x14ac:dyDescent="0.2">
      <c r="N1612" s="18"/>
    </row>
    <row r="1613" spans="14:14" x14ac:dyDescent="0.2">
      <c r="N1613" s="18"/>
    </row>
    <row r="1614" spans="14:14" x14ac:dyDescent="0.2">
      <c r="N1614" s="18"/>
    </row>
    <row r="1615" spans="14:14" x14ac:dyDescent="0.2">
      <c r="N1615" s="18"/>
    </row>
    <row r="1616" spans="14:14" x14ac:dyDescent="0.2">
      <c r="N1616" s="18"/>
    </row>
    <row r="1617" spans="14:14" x14ac:dyDescent="0.2">
      <c r="N1617" s="18"/>
    </row>
    <row r="1618" spans="14:14" x14ac:dyDescent="0.2">
      <c r="N1618" s="18"/>
    </row>
    <row r="1619" spans="14:14" x14ac:dyDescent="0.2">
      <c r="N1619" s="18"/>
    </row>
    <row r="1620" spans="14:14" x14ac:dyDescent="0.2">
      <c r="N1620" s="18"/>
    </row>
    <row r="1621" spans="14:14" x14ac:dyDescent="0.2">
      <c r="N1621" s="18"/>
    </row>
    <row r="1622" spans="14:14" x14ac:dyDescent="0.2">
      <c r="N1622" s="18"/>
    </row>
    <row r="1623" spans="14:14" x14ac:dyDescent="0.2">
      <c r="N1623" s="18"/>
    </row>
    <row r="1624" spans="14:14" x14ac:dyDescent="0.2">
      <c r="N1624" s="18"/>
    </row>
    <row r="1625" spans="14:14" x14ac:dyDescent="0.2">
      <c r="N1625" s="18"/>
    </row>
    <row r="1626" spans="14:14" x14ac:dyDescent="0.2">
      <c r="N1626" s="18"/>
    </row>
    <row r="1627" spans="14:14" x14ac:dyDescent="0.2">
      <c r="N1627" s="18"/>
    </row>
    <row r="1628" spans="14:14" x14ac:dyDescent="0.2">
      <c r="N1628" s="18"/>
    </row>
    <row r="1629" spans="14:14" x14ac:dyDescent="0.2">
      <c r="N1629" s="18"/>
    </row>
    <row r="1630" spans="14:14" x14ac:dyDescent="0.2">
      <c r="N1630" s="18"/>
    </row>
    <row r="1631" spans="14:14" x14ac:dyDescent="0.2">
      <c r="N1631" s="18"/>
    </row>
    <row r="1632" spans="14:14" x14ac:dyDescent="0.2">
      <c r="N1632" s="18"/>
    </row>
    <row r="1633" spans="14:14" x14ac:dyDescent="0.2">
      <c r="N1633" s="18"/>
    </row>
    <row r="1634" spans="14:14" x14ac:dyDescent="0.2">
      <c r="N1634" s="18"/>
    </row>
    <row r="1635" spans="14:14" x14ac:dyDescent="0.2">
      <c r="N1635" s="18"/>
    </row>
    <row r="1636" spans="14:14" x14ac:dyDescent="0.2">
      <c r="N1636" s="18"/>
    </row>
    <row r="1637" spans="14:14" x14ac:dyDescent="0.2">
      <c r="N1637" s="18"/>
    </row>
    <row r="1638" spans="14:14" x14ac:dyDescent="0.2">
      <c r="N1638" s="18"/>
    </row>
    <row r="1639" spans="14:14" x14ac:dyDescent="0.2">
      <c r="N1639" s="18"/>
    </row>
    <row r="1640" spans="14:14" x14ac:dyDescent="0.2">
      <c r="N1640" s="18"/>
    </row>
    <row r="1641" spans="14:14" x14ac:dyDescent="0.2">
      <c r="N1641" s="18"/>
    </row>
    <row r="1642" spans="14:14" x14ac:dyDescent="0.2">
      <c r="N1642" s="18"/>
    </row>
    <row r="1643" spans="14:14" x14ac:dyDescent="0.2">
      <c r="N1643" s="18"/>
    </row>
    <row r="1644" spans="14:14" x14ac:dyDescent="0.2">
      <c r="N1644" s="18"/>
    </row>
    <row r="1645" spans="14:14" x14ac:dyDescent="0.2">
      <c r="N1645" s="18"/>
    </row>
    <row r="1646" spans="14:14" x14ac:dyDescent="0.2">
      <c r="N1646" s="18"/>
    </row>
    <row r="1647" spans="14:14" x14ac:dyDescent="0.2">
      <c r="N1647" s="18"/>
    </row>
    <row r="1648" spans="14:14" x14ac:dyDescent="0.2">
      <c r="N1648" s="18"/>
    </row>
    <row r="1649" spans="14:14" x14ac:dyDescent="0.2">
      <c r="N1649" s="18"/>
    </row>
    <row r="1650" spans="14:14" x14ac:dyDescent="0.2">
      <c r="N1650" s="18"/>
    </row>
    <row r="1651" spans="14:14" x14ac:dyDescent="0.2">
      <c r="N1651" s="18"/>
    </row>
    <row r="1652" spans="14:14" x14ac:dyDescent="0.2">
      <c r="N1652" s="18"/>
    </row>
    <row r="1653" spans="14:14" x14ac:dyDescent="0.2">
      <c r="N1653" s="18"/>
    </row>
    <row r="1654" spans="14:14" x14ac:dyDescent="0.2">
      <c r="N1654" s="18"/>
    </row>
    <row r="1655" spans="14:14" x14ac:dyDescent="0.2">
      <c r="N1655" s="18"/>
    </row>
    <row r="1656" spans="14:14" x14ac:dyDescent="0.2">
      <c r="N1656" s="18"/>
    </row>
    <row r="1657" spans="14:14" x14ac:dyDescent="0.2">
      <c r="N1657" s="18"/>
    </row>
    <row r="1658" spans="14:14" x14ac:dyDescent="0.2">
      <c r="N1658" s="18"/>
    </row>
    <row r="1659" spans="14:14" x14ac:dyDescent="0.2">
      <c r="N1659" s="18"/>
    </row>
    <row r="1660" spans="14:14" x14ac:dyDescent="0.2">
      <c r="N1660" s="18"/>
    </row>
    <row r="1661" spans="14:14" x14ac:dyDescent="0.2">
      <c r="N1661" s="18"/>
    </row>
    <row r="1662" spans="14:14" x14ac:dyDescent="0.2">
      <c r="N1662" s="18"/>
    </row>
  </sheetData>
  <sheetProtection algorithmName="SHA-512" hashValue="izKNBCx1T+7UipZvbh7VrSK1D9zmQEkLp/6BqCcdAnNHMQUBq5b8oNpyPtk4Ax5JdZFmfJfrJbulMAahT4mW0g==" saltValue="gU0cXcEvfzDzoYu22WeQFg==" spinCount="100000" sheet="1" formatCells="0" formatColumns="0" formatRows="0" insertColumns="0" insertRows="0" insertHyperlinks="0" deleteColumns="0" deleteRows="0" selectLockedCells="1" sort="0" autoFilter="0" pivotTables="0"/>
  <mergeCells count="139">
    <mergeCell ref="B58:H58"/>
    <mergeCell ref="B59:H59"/>
    <mergeCell ref="J8:M8"/>
    <mergeCell ref="J9:M13"/>
    <mergeCell ref="G10:H10"/>
    <mergeCell ref="G11:H11"/>
    <mergeCell ref="G8:H8"/>
    <mergeCell ref="B9:D9"/>
    <mergeCell ref="G9:H9"/>
    <mergeCell ref="B8:D8"/>
    <mergeCell ref="B10:D10"/>
    <mergeCell ref="C11:D11"/>
    <mergeCell ref="C12:D12"/>
    <mergeCell ref="G13:H13"/>
    <mergeCell ref="B24:D24"/>
    <mergeCell ref="F24:G24"/>
    <mergeCell ref="H24:J24"/>
    <mergeCell ref="B25:D25"/>
    <mergeCell ref="F25:G25"/>
    <mergeCell ref="H25:J25"/>
    <mergeCell ref="B22:D22"/>
    <mergeCell ref="F22:G22"/>
    <mergeCell ref="H22:J22"/>
    <mergeCell ref="B23:D23"/>
    <mergeCell ref="F30:G30"/>
    <mergeCell ref="A11:A14"/>
    <mergeCell ref="C14:D14"/>
    <mergeCell ref="B20:D20"/>
    <mergeCell ref="F20:G20"/>
    <mergeCell ref="H20:J20"/>
    <mergeCell ref="B21:D21"/>
    <mergeCell ref="F21:G21"/>
    <mergeCell ref="H21:J21"/>
    <mergeCell ref="A17:M17"/>
    <mergeCell ref="B19:D19"/>
    <mergeCell ref="F19:G19"/>
    <mergeCell ref="H19:J19"/>
    <mergeCell ref="C13:D13"/>
    <mergeCell ref="B15:D15"/>
    <mergeCell ref="H30:J30"/>
    <mergeCell ref="B56:H56"/>
    <mergeCell ref="B57:H57"/>
    <mergeCell ref="B52:H52"/>
    <mergeCell ref="B54:H54"/>
    <mergeCell ref="F23:G23"/>
    <mergeCell ref="H23:J23"/>
    <mergeCell ref="G34:H34"/>
    <mergeCell ref="L34:M34"/>
    <mergeCell ref="B35:F35"/>
    <mergeCell ref="G35:H35"/>
    <mergeCell ref="L35:M35"/>
    <mergeCell ref="B26:D26"/>
    <mergeCell ref="F26:G26"/>
    <mergeCell ref="H26:J26"/>
    <mergeCell ref="B27:D27"/>
    <mergeCell ref="F27:G27"/>
    <mergeCell ref="H27:J27"/>
    <mergeCell ref="B28:D28"/>
    <mergeCell ref="F28:G28"/>
    <mergeCell ref="H28:J28"/>
    <mergeCell ref="B29:D29"/>
    <mergeCell ref="F29:G29"/>
    <mergeCell ref="H29:J29"/>
    <mergeCell ref="B30:D30"/>
    <mergeCell ref="O58:S58"/>
    <mergeCell ref="G38:H38"/>
    <mergeCell ref="O50:S50"/>
    <mergeCell ref="L38:M38"/>
    <mergeCell ref="B43:F43"/>
    <mergeCell ref="G43:H43"/>
    <mergeCell ref="B44:F44"/>
    <mergeCell ref="G44:H44"/>
    <mergeCell ref="L57:M57"/>
    <mergeCell ref="L49:M49"/>
    <mergeCell ref="L50:M50"/>
    <mergeCell ref="B41:F41"/>
    <mergeCell ref="G41:H41"/>
    <mergeCell ref="L41:M41"/>
    <mergeCell ref="L46:M46"/>
    <mergeCell ref="A47:M47"/>
    <mergeCell ref="B50:H50"/>
    <mergeCell ref="B42:F42"/>
    <mergeCell ref="G42:H42"/>
    <mergeCell ref="L42:M42"/>
    <mergeCell ref="B45:F45"/>
    <mergeCell ref="G45:H45"/>
    <mergeCell ref="B53:H53"/>
    <mergeCell ref="B55:H55"/>
    <mergeCell ref="B51:H51"/>
    <mergeCell ref="O49:S49"/>
    <mergeCell ref="L43:M43"/>
    <mergeCell ref="L58:M58"/>
    <mergeCell ref="L59:M59"/>
    <mergeCell ref="O8:S8"/>
    <mergeCell ref="O9:S13"/>
    <mergeCell ref="O34:S34"/>
    <mergeCell ref="O35:S35"/>
    <mergeCell ref="O41:S41"/>
    <mergeCell ref="L51:M51"/>
    <mergeCell ref="L52:M52"/>
    <mergeCell ref="L53:M53"/>
    <mergeCell ref="L54:M54"/>
    <mergeCell ref="L55:M55"/>
    <mergeCell ref="L56:M56"/>
    <mergeCell ref="A32:M32"/>
    <mergeCell ref="B34:F34"/>
    <mergeCell ref="O59:S59"/>
    <mergeCell ref="O54:S54"/>
    <mergeCell ref="O55:S55"/>
    <mergeCell ref="O56:S56"/>
    <mergeCell ref="O57:S57"/>
    <mergeCell ref="B49:H49"/>
    <mergeCell ref="B40:F40"/>
    <mergeCell ref="G39:H39"/>
    <mergeCell ref="L39:M39"/>
    <mergeCell ref="O39:S39"/>
    <mergeCell ref="G40:H40"/>
    <mergeCell ref="L40:M40"/>
    <mergeCell ref="O40:S40"/>
    <mergeCell ref="B39:F39"/>
    <mergeCell ref="B38:F38"/>
    <mergeCell ref="B36:F36"/>
    <mergeCell ref="G36:H36"/>
    <mergeCell ref="L36:M36"/>
    <mergeCell ref="O36:S36"/>
    <mergeCell ref="B37:F37"/>
    <mergeCell ref="G37:H37"/>
    <mergeCell ref="L37:M37"/>
    <mergeCell ref="O37:S37"/>
    <mergeCell ref="O38:S38"/>
    <mergeCell ref="L44:M44"/>
    <mergeCell ref="O42:S42"/>
    <mergeCell ref="O43:S43"/>
    <mergeCell ref="O44:S44"/>
    <mergeCell ref="O45:S45"/>
    <mergeCell ref="O51:S51"/>
    <mergeCell ref="O52:S52"/>
    <mergeCell ref="O53:S53"/>
    <mergeCell ref="L45:M45"/>
  </mergeCells>
  <phoneticPr fontId="23" type="noConversion"/>
  <conditionalFormatting sqref="O35:S45">
    <cfRule type="cellIs" dxfId="5" priority="7" operator="equal">
      <formula>"En espera"</formula>
    </cfRule>
    <cfRule type="cellIs" dxfId="4" priority="8" operator="equal">
      <formula>"Completado"</formula>
    </cfRule>
    <cfRule type="cellIs" dxfId="3" priority="9" operator="equal">
      <formula>"Error"</formula>
    </cfRule>
  </conditionalFormatting>
  <conditionalFormatting sqref="O50:S59">
    <cfRule type="cellIs" dxfId="2" priority="1" operator="equal">
      <formula>"En espera"</formula>
    </cfRule>
    <cfRule type="cellIs" dxfId="1" priority="2" operator="equal">
      <formula>"Completado"</formula>
    </cfRule>
    <cfRule type="cellIs" dxfId="0" priority="3" operator="equal">
      <formula>"Error"</formula>
    </cfRule>
  </conditionalFormatting>
  <dataValidations count="5">
    <dataValidation type="list" allowBlank="1" showInputMessage="1" showErrorMessage="1" sqref="B15:D15" xr:uid="{9A1C48FC-D3AB-4525-9F64-3CB0EBA0D6CF}">
      <formula1>"Selecciona,PROD,QA1,QA2,QA3"</formula1>
    </dataValidation>
    <dataValidation type="list" allowBlank="1" showInputMessage="1" showErrorMessage="1" sqref="G8:I11" xr:uid="{4650E9FA-E91C-4E78-97EE-7CA20546C494}">
      <formula1>"Selecciona,Normal,Estandar,Emergente"</formula1>
    </dataValidation>
    <dataValidation type="list" allowBlank="1" showInputMessage="1" showErrorMessage="1" sqref="G12:I12" xr:uid="{B4AD8785-FCF9-401A-B1D2-70105CB04848}">
      <formula1>"Selecciona,Alto,Medio,Bajo"</formula1>
    </dataValidation>
    <dataValidation type="list" allowBlank="1" showInputMessage="1" showErrorMessage="1" sqref="G13:I15" xr:uid="{E27033D0-7157-46A3-92F0-EA22E8C7971F}">
      <formula1>"Selecciona,Si,No"</formula1>
    </dataValidation>
    <dataValidation type="list" allowBlank="1" showInputMessage="1" showErrorMessage="1" sqref="O50:S59 O35:S45" xr:uid="{EA5D8059-759F-47BE-B34D-3EEA2894A584}">
      <formula1>"En espera, Completado, Error,En Proceso"</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90869F6B-0570-4B20-B453-A390B68FA8AB}">
          <x14:formula1>
            <xm:f>RFC!$E$20:$E$31</xm:f>
          </x14:formula1>
          <xm:sqref>J50:J59 J35:J45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77D2A-8DEC-4798-8411-F0917AF1A6BA}">
  <dimension ref="B4:K17"/>
  <sheetViews>
    <sheetView workbookViewId="0">
      <selection activeCell="B13" sqref="B13"/>
    </sheetView>
  </sheetViews>
  <sheetFormatPr baseColWidth="10" defaultColWidth="17.5" defaultRowHeight="15" x14ac:dyDescent="0.2"/>
  <cols>
    <col min="2" max="2" width="30.5" customWidth="1"/>
    <col min="3" max="3" width="38.83203125" customWidth="1"/>
    <col min="4" max="4" width="28.5" customWidth="1"/>
    <col min="5" max="5" width="27.5" customWidth="1"/>
    <col min="6" max="6" width="31.5" customWidth="1"/>
    <col min="7" max="7" width="28.5" customWidth="1"/>
    <col min="8" max="8" width="30.5" customWidth="1"/>
    <col min="9" max="9" width="19.5" customWidth="1"/>
    <col min="10" max="10" width="20.5" customWidth="1"/>
  </cols>
  <sheetData>
    <row r="4" spans="2:11" ht="20.75" customHeight="1" x14ac:dyDescent="0.2">
      <c r="B4" s="59" t="s">
        <v>48</v>
      </c>
      <c r="C4" s="59" t="s">
        <v>50</v>
      </c>
      <c r="D4" s="59" t="s">
        <v>52</v>
      </c>
      <c r="E4" s="59" t="s">
        <v>54</v>
      </c>
      <c r="F4" s="59" t="s">
        <v>56</v>
      </c>
      <c r="G4" s="59" t="s">
        <v>58</v>
      </c>
      <c r="H4" s="59" t="s">
        <v>60</v>
      </c>
      <c r="I4" s="59" t="s">
        <v>62</v>
      </c>
      <c r="J4" s="59" t="s">
        <v>64</v>
      </c>
      <c r="K4" s="59" t="s">
        <v>66</v>
      </c>
    </row>
    <row r="5" spans="2:11" ht="20.75" customHeight="1" x14ac:dyDescent="0.2">
      <c r="B5" s="59" t="s">
        <v>47</v>
      </c>
      <c r="C5" s="59" t="s">
        <v>47</v>
      </c>
      <c r="D5" s="59" t="s">
        <v>47</v>
      </c>
      <c r="E5" s="59" t="s">
        <v>47</v>
      </c>
      <c r="F5" s="59" t="s">
        <v>47</v>
      </c>
      <c r="G5" s="59" t="s">
        <v>47</v>
      </c>
      <c r="H5" s="59" t="s">
        <v>47</v>
      </c>
      <c r="I5" s="59" t="s">
        <v>47</v>
      </c>
      <c r="J5" s="59" t="s">
        <v>47</v>
      </c>
      <c r="K5" s="59" t="s">
        <v>47</v>
      </c>
    </row>
    <row r="6" spans="2:11" ht="21.5" customHeight="1" x14ac:dyDescent="0.2">
      <c r="B6" t="s">
        <v>219</v>
      </c>
      <c r="D6" t="s">
        <v>220</v>
      </c>
      <c r="F6" t="s">
        <v>221</v>
      </c>
      <c r="G6" s="88" t="s">
        <v>222</v>
      </c>
      <c r="H6" t="s">
        <v>223</v>
      </c>
    </row>
    <row r="7" spans="2:11" ht="16" x14ac:dyDescent="0.2">
      <c r="B7" t="s">
        <v>224</v>
      </c>
      <c r="D7" s="88" t="s">
        <v>225</v>
      </c>
      <c r="F7" t="s">
        <v>226</v>
      </c>
      <c r="G7" t="s">
        <v>227</v>
      </c>
      <c r="H7" t="s">
        <v>228</v>
      </c>
    </row>
    <row r="8" spans="2:11" x14ac:dyDescent="0.2">
      <c r="B8" t="s">
        <v>229</v>
      </c>
      <c r="D8" t="s">
        <v>230</v>
      </c>
      <c r="F8" t="s">
        <v>231</v>
      </c>
      <c r="G8" t="s">
        <v>232</v>
      </c>
      <c r="H8" t="s">
        <v>233</v>
      </c>
    </row>
    <row r="9" spans="2:11" x14ac:dyDescent="0.2">
      <c r="B9" t="s">
        <v>234</v>
      </c>
      <c r="D9" t="s">
        <v>235</v>
      </c>
      <c r="F9" t="s">
        <v>236</v>
      </c>
      <c r="H9" t="s">
        <v>237</v>
      </c>
    </row>
    <row r="10" spans="2:11" x14ac:dyDescent="0.2">
      <c r="B10" t="s">
        <v>238</v>
      </c>
      <c r="F10" t="s">
        <v>239</v>
      </c>
      <c r="H10" t="s">
        <v>240</v>
      </c>
    </row>
    <row r="11" spans="2:11" x14ac:dyDescent="0.2">
      <c r="F11" t="s">
        <v>241</v>
      </c>
      <c r="H11" t="s">
        <v>242</v>
      </c>
    </row>
    <row r="12" spans="2:11" x14ac:dyDescent="0.2">
      <c r="F12" t="s">
        <v>243</v>
      </c>
      <c r="H12" t="s">
        <v>244</v>
      </c>
    </row>
    <row r="13" spans="2:11" x14ac:dyDescent="0.2">
      <c r="F13" t="s">
        <v>245</v>
      </c>
      <c r="H13" t="s">
        <v>246</v>
      </c>
    </row>
    <row r="14" spans="2:11" x14ac:dyDescent="0.2">
      <c r="F14" t="s">
        <v>247</v>
      </c>
    </row>
    <row r="15" spans="2:11" x14ac:dyDescent="0.2">
      <c r="F15" t="s">
        <v>57</v>
      </c>
    </row>
    <row r="16" spans="2:11" x14ac:dyDescent="0.2">
      <c r="F16" t="s">
        <v>248</v>
      </c>
    </row>
    <row r="17" spans="6:6" x14ac:dyDescent="0.2">
      <c r="F17" t="s">
        <v>249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23A1BE35D65D840A7CED31D41C40646" ma:contentTypeVersion="14" ma:contentTypeDescription="Crear nuevo documento." ma:contentTypeScope="" ma:versionID="129e44f22b61f582f987265c5bd55669">
  <xsd:schema xmlns:xsd="http://www.w3.org/2001/XMLSchema" xmlns:xs="http://www.w3.org/2001/XMLSchema" xmlns:p="http://schemas.microsoft.com/office/2006/metadata/properties" xmlns:ns2="32aa20d3-4ea7-4822-aa86-26f1d37a3268" xmlns:ns3="21e06194-1b7f-4981-9d03-c1d3286ce345" targetNamespace="http://schemas.microsoft.com/office/2006/metadata/properties" ma:root="true" ma:fieldsID="3c2ff34b6eb99b30cb6871f00643fef3" ns2:_="" ns3:_="">
    <xsd:import namespace="32aa20d3-4ea7-4822-aa86-26f1d37a3268"/>
    <xsd:import namespace="21e06194-1b7f-4981-9d03-c1d3286ce34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aa20d3-4ea7-4822-aa86-26f1d37a326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098c9583-0f15-466c-9d94-bbb87b488c1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1e06194-1b7f-4981-9d03-c1d3286ce345"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a63704f3-e2e1-4e40-b7be-d096881b9606}" ma:internalName="TaxCatchAll" ma:showField="CatchAllData" ma:web="21e06194-1b7f-4981-9d03-c1d3286ce34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2aa20d3-4ea7-4822-aa86-26f1d37a3268">
      <Terms xmlns="http://schemas.microsoft.com/office/infopath/2007/PartnerControls"/>
    </lcf76f155ced4ddcb4097134ff3c332f>
    <TaxCatchAll xmlns="21e06194-1b7f-4981-9d03-c1d3286ce34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2550B4E-3B52-483C-9C9C-311E5FB6927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aa20d3-4ea7-4822-aa86-26f1d37a3268"/>
    <ds:schemaRef ds:uri="21e06194-1b7f-4981-9d03-c1d3286ce34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9841786-AAC5-4BF6-94BE-38313CCAC599}">
  <ds:schemaRefs>
    <ds:schemaRef ds:uri="http://schemas.microsoft.com/office/2006/metadata/properties"/>
    <ds:schemaRef ds:uri="http://schemas.microsoft.com/office/infopath/2007/PartnerControls"/>
    <ds:schemaRef ds:uri="32aa20d3-4ea7-4822-aa86-26f1d37a3268"/>
    <ds:schemaRef ds:uri="21e06194-1b7f-4981-9d03-c1d3286ce345"/>
  </ds:schemaRefs>
</ds:datastoreItem>
</file>

<file path=customXml/itemProps3.xml><?xml version="1.0" encoding="utf-8"?>
<ds:datastoreItem xmlns:ds="http://schemas.openxmlformats.org/officeDocument/2006/customXml" ds:itemID="{9B618E69-EB4A-4EDD-93EF-2E720235288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7</vt:i4>
      </vt:variant>
    </vt:vector>
  </HeadingPairs>
  <TitlesOfParts>
    <vt:vector size="7" baseType="lpstr">
      <vt:lpstr>EV.RIESGO</vt:lpstr>
      <vt:lpstr>RFC</vt:lpstr>
      <vt:lpstr>HITOS</vt:lpstr>
      <vt:lpstr>INFRA Y DEVOPS</vt:lpstr>
      <vt:lpstr>VALIDACIÓN</vt:lpstr>
      <vt:lpstr>ROLLBACK</vt:lpstr>
      <vt:lpstr>Lista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Erika Hernandez Castillo</dc:creator>
  <cp:keywords/>
  <dc:description/>
  <cp:lastModifiedBy>Eduardo Adrian Magaña Lanz</cp:lastModifiedBy>
  <cp:revision/>
  <dcterms:created xsi:type="dcterms:W3CDTF">2024-04-18T15:50:09Z</dcterms:created>
  <dcterms:modified xsi:type="dcterms:W3CDTF">2026-07-20T15:54:53Z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0x010100923A1BE35D65D840A7CED31D41C40646</vt:lpwstr>
  </property>
</Properties>
</file>